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hitrangi\Downloads\"/>
    </mc:Choice>
  </mc:AlternateContent>
  <xr:revisionPtr revIDLastSave="0" documentId="13_ncr:1_{1436AEB6-A56C-4D85-A8F7-DEBAFB306E9A}" xr6:coauthVersionLast="47" xr6:coauthVersionMax="47" xr10:uidLastSave="{00000000-0000-0000-0000-000000000000}"/>
  <bookViews>
    <workbookView xWindow="-108" yWindow="-108" windowWidth="23256" windowHeight="13176" tabRatio="695" firstSheet="11" activeTab="15" xr2:uid="{00000000-000D-0000-FFFF-FFFF00000000}"/>
  </bookViews>
  <sheets>
    <sheet name="Daily Planner" sheetId="1" r:id="rId1"/>
    <sheet name="Weekly Review" sheetId="2" r:id="rId2"/>
    <sheet name="Monthly Review" sheetId="3" r:id="rId3"/>
    <sheet name="Revision Planner" sheetId="4" r:id="rId4"/>
    <sheet name="Python Advanced" sheetId="5" r:id="rId5"/>
    <sheet name="Data Structures &amp; Algorithms" sheetId="6" r:id="rId6"/>
    <sheet name="Operating Systems" sheetId="7" r:id="rId7"/>
    <sheet name="Computer Networking" sheetId="8" r:id="rId8"/>
    <sheet name="Databases" sheetId="9" r:id="rId9"/>
    <sheet name="Mathematics" sheetId="10" r:id="rId10"/>
    <sheet name="Machine Learning" sheetId="11" r:id="rId11"/>
    <sheet name="Deep Learning" sheetId="12" r:id="rId12"/>
    <sheet name="LLM Engineering" sheetId="13" r:id="rId13"/>
    <sheet name="CUDA &amp; GPU Programming" sheetId="14" r:id="rId14"/>
    <sheet name="Distributed Systems" sheetId="15" r:id="rId15"/>
    <sheet name="Research Papers" sheetId="16" r:id="rId16"/>
    <sheet name="Projects" sheetId="17" r:id="rId17"/>
    <sheet name="Interview Prep" sheetId="18" r:id="rId18"/>
    <sheet name="Dashboard" sheetId="19" r:id="rId19"/>
  </sheets>
  <definedNames>
    <definedName name="_xlnm._FilterDatabase" localSheetId="7" hidden="1">'Computer Networking'!$A$4:$Q$4</definedName>
    <definedName name="_xlnm._FilterDatabase" localSheetId="13" hidden="1">'CUDA &amp; GPU Programming'!$A$4:$Q$4</definedName>
    <definedName name="_xlnm._FilterDatabase" localSheetId="0" hidden="1">'Daily Planner'!$A$3:$K$3</definedName>
    <definedName name="_xlnm._FilterDatabase" localSheetId="5" hidden="1">'Data Structures &amp; Algorithms'!$A$4:$Q$4</definedName>
    <definedName name="_xlnm._FilterDatabase" localSheetId="8" hidden="1">Databases!$A$4:$Q$4</definedName>
    <definedName name="_xlnm._FilterDatabase" localSheetId="11" hidden="1">'Deep Learning'!$A$4:$Q$4</definedName>
    <definedName name="_xlnm._FilterDatabase" localSheetId="14" hidden="1">'Distributed Systems'!$A$4:$Q$4</definedName>
    <definedName name="_xlnm._FilterDatabase" localSheetId="17" hidden="1">'Interview Prep'!$A$4:$E$4</definedName>
    <definedName name="_xlnm._FilterDatabase" localSheetId="12" hidden="1">'LLM Engineering'!$A$4:$Q$4</definedName>
    <definedName name="_xlnm._FilterDatabase" localSheetId="10" hidden="1">'Machine Learning'!$A$4:$Q$4</definedName>
    <definedName name="_xlnm._FilterDatabase" localSheetId="9" hidden="1">Mathematics!$A$4:$Q$4</definedName>
    <definedName name="_xlnm._FilterDatabase" localSheetId="2" hidden="1">'Monthly Review'!$A$3:$G$3</definedName>
    <definedName name="_xlnm._FilterDatabase" localSheetId="6" hidden="1">'Operating Systems'!$A$4:$Q$4</definedName>
    <definedName name="_xlnm._FilterDatabase" localSheetId="16" hidden="1">Projects!$A$4:$N$4</definedName>
    <definedName name="_xlnm._FilterDatabase" localSheetId="4" hidden="1">'Python Advanced'!$A$4:$Q$4</definedName>
    <definedName name="_xlnm._FilterDatabase" localSheetId="15" hidden="1">'Research Papers'!$A$4:$K$4</definedName>
    <definedName name="_xlnm._FilterDatabase" localSheetId="3" hidden="1">'Revision Planner'!$A$3:$F$3</definedName>
    <definedName name="_xlnm._FilterDatabase" localSheetId="1" hidden="1">'Weekly Review'!$A$3:$J$3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43" i="19" l="1"/>
  <c r="D243" i="19"/>
  <c r="C243" i="19"/>
  <c r="B243" i="19"/>
  <c r="E242" i="19"/>
  <c r="D242" i="19"/>
  <c r="C242" i="19"/>
  <c r="B242" i="19"/>
  <c r="E241" i="19"/>
  <c r="D241" i="19"/>
  <c r="C241" i="19"/>
  <c r="B241" i="19"/>
  <c r="E240" i="19"/>
  <c r="D240" i="19"/>
  <c r="C240" i="19"/>
  <c r="B240" i="19"/>
  <c r="E239" i="19"/>
  <c r="D239" i="19"/>
  <c r="C239" i="19"/>
  <c r="B239" i="19"/>
  <c r="E238" i="19"/>
  <c r="D238" i="19"/>
  <c r="C238" i="19"/>
  <c r="B238" i="19"/>
  <c r="E237" i="19"/>
  <c r="D237" i="19"/>
  <c r="C237" i="19"/>
  <c r="B237" i="19"/>
  <c r="E236" i="19"/>
  <c r="D236" i="19"/>
  <c r="C236" i="19"/>
  <c r="B236" i="19"/>
  <c r="E235" i="19"/>
  <c r="D235" i="19"/>
  <c r="C235" i="19"/>
  <c r="B235" i="19"/>
  <c r="E234" i="19"/>
  <c r="D234" i="19"/>
  <c r="C234" i="19"/>
  <c r="B234" i="19"/>
  <c r="E233" i="19"/>
  <c r="D233" i="19"/>
  <c r="C233" i="19"/>
  <c r="B233" i="19"/>
  <c r="E232" i="19"/>
  <c r="D232" i="19"/>
  <c r="C232" i="19"/>
  <c r="B232" i="19"/>
  <c r="E231" i="19"/>
  <c r="D231" i="19"/>
  <c r="C231" i="19"/>
  <c r="B231" i="19"/>
  <c r="E230" i="19"/>
  <c r="D230" i="19"/>
  <c r="C230" i="19"/>
  <c r="B230" i="19"/>
  <c r="E229" i="19"/>
  <c r="D229" i="19"/>
  <c r="C229" i="19"/>
  <c r="B229" i="19"/>
  <c r="E228" i="19"/>
  <c r="D228" i="19"/>
  <c r="C228" i="19"/>
  <c r="B228" i="19"/>
  <c r="E227" i="19"/>
  <c r="D227" i="19"/>
  <c r="C227" i="19"/>
  <c r="B227" i="19"/>
  <c r="E226" i="19"/>
  <c r="D226" i="19"/>
  <c r="C226" i="19"/>
  <c r="B226" i="19"/>
  <c r="E225" i="19"/>
  <c r="D225" i="19"/>
  <c r="C225" i="19"/>
  <c r="B225" i="19"/>
  <c r="E224" i="19"/>
  <c r="D224" i="19"/>
  <c r="C224" i="19"/>
  <c r="B224" i="19"/>
  <c r="E223" i="19"/>
  <c r="D223" i="19"/>
  <c r="C223" i="19"/>
  <c r="B223" i="19"/>
  <c r="E222" i="19"/>
  <c r="D222" i="19"/>
  <c r="C222" i="19"/>
  <c r="B222" i="19"/>
  <c r="E221" i="19"/>
  <c r="D221" i="19"/>
  <c r="C221" i="19"/>
  <c r="B221" i="19"/>
  <c r="E220" i="19"/>
  <c r="D220" i="19"/>
  <c r="C220" i="19"/>
  <c r="B220" i="19"/>
  <c r="E219" i="19"/>
  <c r="D219" i="19"/>
  <c r="C219" i="19"/>
  <c r="B219" i="19"/>
  <c r="E218" i="19"/>
  <c r="D218" i="19"/>
  <c r="C218" i="19"/>
  <c r="B218" i="19"/>
  <c r="E217" i="19"/>
  <c r="D217" i="19"/>
  <c r="C217" i="19"/>
  <c r="B217" i="19"/>
  <c r="E216" i="19"/>
  <c r="D216" i="19"/>
  <c r="C216" i="19"/>
  <c r="B216" i="19"/>
  <c r="E215" i="19"/>
  <c r="D215" i="19"/>
  <c r="C215" i="19"/>
  <c r="B215" i="19"/>
  <c r="E214" i="19"/>
  <c r="D214" i="19"/>
  <c r="C214" i="19"/>
  <c r="B214" i="19"/>
  <c r="E213" i="19"/>
  <c r="D213" i="19"/>
  <c r="C213" i="19"/>
  <c r="B213" i="19"/>
  <c r="E212" i="19"/>
  <c r="D212" i="19"/>
  <c r="C212" i="19"/>
  <c r="B212" i="19"/>
  <c r="E211" i="19"/>
  <c r="D211" i="19"/>
  <c r="C211" i="19"/>
  <c r="B211" i="19"/>
  <c r="E210" i="19"/>
  <c r="D210" i="19"/>
  <c r="C210" i="19"/>
  <c r="B210" i="19"/>
  <c r="E209" i="19"/>
  <c r="D209" i="19"/>
  <c r="C209" i="19"/>
  <c r="B209" i="19"/>
  <c r="E208" i="19"/>
  <c r="D208" i="19"/>
  <c r="C208" i="19"/>
  <c r="B208" i="19"/>
  <c r="E207" i="19"/>
  <c r="D207" i="19"/>
  <c r="C207" i="19"/>
  <c r="B207" i="19"/>
  <c r="E206" i="19"/>
  <c r="D206" i="19"/>
  <c r="C206" i="19"/>
  <c r="B206" i="19"/>
  <c r="E205" i="19"/>
  <c r="D205" i="19"/>
  <c r="C205" i="19"/>
  <c r="B205" i="19"/>
  <c r="E204" i="19"/>
  <c r="D204" i="19"/>
  <c r="C204" i="19"/>
  <c r="B204" i="19"/>
  <c r="E203" i="19"/>
  <c r="D203" i="19"/>
  <c r="C203" i="19"/>
  <c r="B203" i="19"/>
  <c r="E202" i="19"/>
  <c r="D202" i="19"/>
  <c r="C202" i="19"/>
  <c r="B202" i="19"/>
  <c r="E201" i="19"/>
  <c r="D201" i="19"/>
  <c r="C201" i="19"/>
  <c r="B201" i="19"/>
  <c r="E200" i="19"/>
  <c r="D200" i="19"/>
  <c r="C200" i="19"/>
  <c r="B200" i="19"/>
  <c r="E199" i="19"/>
  <c r="D199" i="19"/>
  <c r="C199" i="19"/>
  <c r="B199" i="19"/>
  <c r="E198" i="19"/>
  <c r="D198" i="19"/>
  <c r="C198" i="19"/>
  <c r="B198" i="19"/>
  <c r="E197" i="19"/>
  <c r="D197" i="19"/>
  <c r="C197" i="19"/>
  <c r="B197" i="19"/>
  <c r="E196" i="19"/>
  <c r="D196" i="19"/>
  <c r="C196" i="19"/>
  <c r="B196" i="19"/>
  <c r="E195" i="19"/>
  <c r="D195" i="19"/>
  <c r="C195" i="19"/>
  <c r="B195" i="19"/>
  <c r="E194" i="19"/>
  <c r="D194" i="19"/>
  <c r="C194" i="19"/>
  <c r="B194" i="19"/>
  <c r="E193" i="19"/>
  <c r="D193" i="19"/>
  <c r="C193" i="19"/>
  <c r="B193" i="19"/>
  <c r="E192" i="19"/>
  <c r="D192" i="19"/>
  <c r="C192" i="19"/>
  <c r="B192" i="19"/>
  <c r="E191" i="19"/>
  <c r="D191" i="19"/>
  <c r="C191" i="19"/>
  <c r="B191" i="19"/>
  <c r="E190" i="19"/>
  <c r="D190" i="19"/>
  <c r="C190" i="19"/>
  <c r="B190" i="19"/>
  <c r="E189" i="19"/>
  <c r="D189" i="19"/>
  <c r="C189" i="19"/>
  <c r="B189" i="19"/>
  <c r="E188" i="19"/>
  <c r="D188" i="19"/>
  <c r="C188" i="19"/>
  <c r="B188" i="19"/>
  <c r="E187" i="19"/>
  <c r="D187" i="19"/>
  <c r="C187" i="19"/>
  <c r="B187" i="19"/>
  <c r="E186" i="19"/>
  <c r="D186" i="19"/>
  <c r="C186" i="19"/>
  <c r="B186" i="19"/>
  <c r="E185" i="19"/>
  <c r="D185" i="19"/>
  <c r="C185" i="19"/>
  <c r="B185" i="19"/>
  <c r="E184" i="19"/>
  <c r="D184" i="19"/>
  <c r="C184" i="19"/>
  <c r="B184" i="19"/>
  <c r="E183" i="19"/>
  <c r="D183" i="19"/>
  <c r="C183" i="19"/>
  <c r="B183" i="19"/>
  <c r="E182" i="19"/>
  <c r="D182" i="19"/>
  <c r="C182" i="19"/>
  <c r="B182" i="19"/>
  <c r="E181" i="19"/>
  <c r="D181" i="19"/>
  <c r="C181" i="19"/>
  <c r="B181" i="19"/>
  <c r="E180" i="19"/>
  <c r="D180" i="19"/>
  <c r="C180" i="19"/>
  <c r="B180" i="19"/>
  <c r="E179" i="19"/>
  <c r="D179" i="19"/>
  <c r="C179" i="19"/>
  <c r="B179" i="19"/>
  <c r="E178" i="19"/>
  <c r="D178" i="19"/>
  <c r="C178" i="19"/>
  <c r="B178" i="19"/>
  <c r="E177" i="19"/>
  <c r="D177" i="19"/>
  <c r="C177" i="19"/>
  <c r="B177" i="19"/>
  <c r="E176" i="19"/>
  <c r="D176" i="19"/>
  <c r="C176" i="19"/>
  <c r="B176" i="19"/>
  <c r="E175" i="19"/>
  <c r="D175" i="19"/>
  <c r="C175" i="19"/>
  <c r="B175" i="19"/>
  <c r="E174" i="19"/>
  <c r="D174" i="19"/>
  <c r="C174" i="19"/>
  <c r="B174" i="19"/>
  <c r="E173" i="19"/>
  <c r="D173" i="19"/>
  <c r="C173" i="19"/>
  <c r="B173" i="19"/>
  <c r="E172" i="19"/>
  <c r="D172" i="19"/>
  <c r="C172" i="19"/>
  <c r="B172" i="19"/>
  <c r="E171" i="19"/>
  <c r="D171" i="19"/>
  <c r="C171" i="19"/>
  <c r="B171" i="19"/>
  <c r="E170" i="19"/>
  <c r="D170" i="19"/>
  <c r="C170" i="19"/>
  <c r="B170" i="19"/>
  <c r="E169" i="19"/>
  <c r="D169" i="19"/>
  <c r="C169" i="19"/>
  <c r="B169" i="19"/>
  <c r="E168" i="19"/>
  <c r="D168" i="19"/>
  <c r="C168" i="19"/>
  <c r="B168" i="19"/>
  <c r="E167" i="19"/>
  <c r="D167" i="19"/>
  <c r="C167" i="19"/>
  <c r="B167" i="19"/>
  <c r="E166" i="19"/>
  <c r="D166" i="19"/>
  <c r="C166" i="19"/>
  <c r="B166" i="19"/>
  <c r="E165" i="19"/>
  <c r="D165" i="19"/>
  <c r="C165" i="19"/>
  <c r="B165" i="19"/>
  <c r="E164" i="19"/>
  <c r="D164" i="19"/>
  <c r="C164" i="19"/>
  <c r="B164" i="19"/>
  <c r="E163" i="19"/>
  <c r="D163" i="19"/>
  <c r="C163" i="19"/>
  <c r="B163" i="19"/>
  <c r="E162" i="19"/>
  <c r="D162" i="19"/>
  <c r="C162" i="19"/>
  <c r="B162" i="19"/>
  <c r="E161" i="19"/>
  <c r="D161" i="19"/>
  <c r="C161" i="19"/>
  <c r="B161" i="19"/>
  <c r="E160" i="19"/>
  <c r="D160" i="19"/>
  <c r="C160" i="19"/>
  <c r="B160" i="19"/>
  <c r="E159" i="19"/>
  <c r="D159" i="19"/>
  <c r="C159" i="19"/>
  <c r="B159" i="19"/>
  <c r="E158" i="19"/>
  <c r="D158" i="19"/>
  <c r="C158" i="19"/>
  <c r="B158" i="19"/>
  <c r="E157" i="19"/>
  <c r="D157" i="19"/>
  <c r="C157" i="19"/>
  <c r="B157" i="19"/>
  <c r="E156" i="19"/>
  <c r="D156" i="19"/>
  <c r="C156" i="19"/>
  <c r="B156" i="19"/>
  <c r="E155" i="19"/>
  <c r="D155" i="19"/>
  <c r="C155" i="19"/>
  <c r="B155" i="19"/>
  <c r="E154" i="19"/>
  <c r="D154" i="19"/>
  <c r="C154" i="19"/>
  <c r="B154" i="19"/>
  <c r="E153" i="19"/>
  <c r="D153" i="19"/>
  <c r="C153" i="19"/>
  <c r="B153" i="19"/>
  <c r="E152" i="19"/>
  <c r="D152" i="19"/>
  <c r="C152" i="19"/>
  <c r="B152" i="19"/>
  <c r="E151" i="19"/>
  <c r="D151" i="19"/>
  <c r="C151" i="19"/>
  <c r="B151" i="19"/>
  <c r="E150" i="19"/>
  <c r="D150" i="19"/>
  <c r="C150" i="19"/>
  <c r="B150" i="19"/>
  <c r="E149" i="19"/>
  <c r="D149" i="19"/>
  <c r="C149" i="19"/>
  <c r="B149" i="19"/>
  <c r="E148" i="19"/>
  <c r="D148" i="19"/>
  <c r="C148" i="19"/>
  <c r="B148" i="19"/>
  <c r="E147" i="19"/>
  <c r="D147" i="19"/>
  <c r="C147" i="19"/>
  <c r="B147" i="19"/>
  <c r="E146" i="19"/>
  <c r="D146" i="19"/>
  <c r="C146" i="19"/>
  <c r="B146" i="19"/>
  <c r="E145" i="19"/>
  <c r="D145" i="19"/>
  <c r="C145" i="19"/>
  <c r="B145" i="19"/>
  <c r="E144" i="19"/>
  <c r="D144" i="19"/>
  <c r="C144" i="19"/>
  <c r="B144" i="19"/>
  <c r="E143" i="19"/>
  <c r="D143" i="19"/>
  <c r="C143" i="19"/>
  <c r="B143" i="19"/>
  <c r="E142" i="19"/>
  <c r="D142" i="19"/>
  <c r="C142" i="19"/>
  <c r="B142" i="19"/>
  <c r="E141" i="19"/>
  <c r="D141" i="19"/>
  <c r="C141" i="19"/>
  <c r="B141" i="19"/>
  <c r="E140" i="19"/>
  <c r="D140" i="19"/>
  <c r="C140" i="19"/>
  <c r="B140" i="19"/>
  <c r="E139" i="19"/>
  <c r="D139" i="19"/>
  <c r="C139" i="19"/>
  <c r="B139" i="19"/>
  <c r="E138" i="19"/>
  <c r="D138" i="19"/>
  <c r="C138" i="19"/>
  <c r="B138" i="19"/>
  <c r="E137" i="19"/>
  <c r="D137" i="19"/>
  <c r="C137" i="19"/>
  <c r="B137" i="19"/>
  <c r="E136" i="19"/>
  <c r="D136" i="19"/>
  <c r="C136" i="19"/>
  <c r="B136" i="19"/>
  <c r="E135" i="19"/>
  <c r="D135" i="19"/>
  <c r="C135" i="19"/>
  <c r="B135" i="19"/>
  <c r="E134" i="19"/>
  <c r="D134" i="19"/>
  <c r="C134" i="19"/>
  <c r="B134" i="19"/>
  <c r="E133" i="19"/>
  <c r="D133" i="19"/>
  <c r="C133" i="19"/>
  <c r="B133" i="19"/>
  <c r="E132" i="19"/>
  <c r="D132" i="19"/>
  <c r="C132" i="19"/>
  <c r="B132" i="19"/>
  <c r="E131" i="19"/>
  <c r="D131" i="19"/>
  <c r="C131" i="19"/>
  <c r="B131" i="19"/>
  <c r="E130" i="19"/>
  <c r="D130" i="19"/>
  <c r="C130" i="19"/>
  <c r="B130" i="19"/>
  <c r="E129" i="19"/>
  <c r="D129" i="19"/>
  <c r="C129" i="19"/>
  <c r="B129" i="19"/>
  <c r="E128" i="19"/>
  <c r="D128" i="19"/>
  <c r="C128" i="19"/>
  <c r="B128" i="19"/>
  <c r="E127" i="19"/>
  <c r="D127" i="19"/>
  <c r="C127" i="19"/>
  <c r="B127" i="19"/>
  <c r="E126" i="19"/>
  <c r="D126" i="19"/>
  <c r="C126" i="19"/>
  <c r="B126" i="19"/>
  <c r="E125" i="19"/>
  <c r="D125" i="19"/>
  <c r="C125" i="19"/>
  <c r="B125" i="19"/>
  <c r="E124" i="19"/>
  <c r="D124" i="19"/>
  <c r="C124" i="19"/>
  <c r="B124" i="19"/>
  <c r="E123" i="19"/>
  <c r="D123" i="19"/>
  <c r="C123" i="19"/>
  <c r="B123" i="19"/>
  <c r="E122" i="19"/>
  <c r="D122" i="19"/>
  <c r="C122" i="19"/>
  <c r="B122" i="19"/>
  <c r="E121" i="19"/>
  <c r="D121" i="19"/>
  <c r="C121" i="19"/>
  <c r="B121" i="19"/>
  <c r="E120" i="19"/>
  <c r="D120" i="19"/>
  <c r="C120" i="19"/>
  <c r="B120" i="19"/>
  <c r="E119" i="19"/>
  <c r="D119" i="19"/>
  <c r="C119" i="19"/>
  <c r="B119" i="19"/>
  <c r="E118" i="19"/>
  <c r="D118" i="19"/>
  <c r="C118" i="19"/>
  <c r="B118" i="19"/>
  <c r="E117" i="19"/>
  <c r="D117" i="19"/>
  <c r="C117" i="19"/>
  <c r="B117" i="19"/>
  <c r="E116" i="19"/>
  <c r="D116" i="19"/>
  <c r="C116" i="19"/>
  <c r="B116" i="19"/>
  <c r="E115" i="19"/>
  <c r="D115" i="19"/>
  <c r="C115" i="19"/>
  <c r="B115" i="19"/>
  <c r="E114" i="19"/>
  <c r="D114" i="19"/>
  <c r="C114" i="19"/>
  <c r="B114" i="19"/>
  <c r="E113" i="19"/>
  <c r="D113" i="19"/>
  <c r="C113" i="19"/>
  <c r="B113" i="19"/>
  <c r="E112" i="19"/>
  <c r="D112" i="19"/>
  <c r="C112" i="19"/>
  <c r="B112" i="19"/>
  <c r="E111" i="19"/>
  <c r="D111" i="19"/>
  <c r="C111" i="19"/>
  <c r="B111" i="19"/>
  <c r="E110" i="19"/>
  <c r="D110" i="19"/>
  <c r="C110" i="19"/>
  <c r="B110" i="19"/>
  <c r="E109" i="19"/>
  <c r="D109" i="19"/>
  <c r="C109" i="19"/>
  <c r="B109" i="19"/>
  <c r="E108" i="19"/>
  <c r="D108" i="19"/>
  <c r="C108" i="19"/>
  <c r="B108" i="19"/>
  <c r="E107" i="19"/>
  <c r="D107" i="19"/>
  <c r="C107" i="19"/>
  <c r="B107" i="19"/>
  <c r="E106" i="19"/>
  <c r="D106" i="19"/>
  <c r="C106" i="19"/>
  <c r="B106" i="19"/>
  <c r="E105" i="19"/>
  <c r="D105" i="19"/>
  <c r="C105" i="19"/>
  <c r="B105" i="19"/>
  <c r="E104" i="19"/>
  <c r="D104" i="19"/>
  <c r="C104" i="19"/>
  <c r="B104" i="19"/>
  <c r="E103" i="19"/>
  <c r="D103" i="19"/>
  <c r="C103" i="19"/>
  <c r="B103" i="19"/>
  <c r="E102" i="19"/>
  <c r="D102" i="19"/>
  <c r="C102" i="19"/>
  <c r="B102" i="19"/>
  <c r="E101" i="19"/>
  <c r="D101" i="19"/>
  <c r="C101" i="19"/>
  <c r="B101" i="19"/>
  <c r="E100" i="19"/>
  <c r="D100" i="19"/>
  <c r="C100" i="19"/>
  <c r="B100" i="19"/>
  <c r="E99" i="19"/>
  <c r="D99" i="19"/>
  <c r="C99" i="19"/>
  <c r="B99" i="19"/>
  <c r="E98" i="19"/>
  <c r="D98" i="19"/>
  <c r="C98" i="19"/>
  <c r="B98" i="19"/>
  <c r="E97" i="19"/>
  <c r="D97" i="19"/>
  <c r="C97" i="19"/>
  <c r="B97" i="19"/>
  <c r="E96" i="19"/>
  <c r="D96" i="19"/>
  <c r="C96" i="19"/>
  <c r="B96" i="19"/>
  <c r="E95" i="19"/>
  <c r="D95" i="19"/>
  <c r="C95" i="19"/>
  <c r="B95" i="19"/>
  <c r="E94" i="19"/>
  <c r="D94" i="19"/>
  <c r="C94" i="19"/>
  <c r="B94" i="19"/>
  <c r="E93" i="19"/>
  <c r="D93" i="19"/>
  <c r="C93" i="19"/>
  <c r="B93" i="19"/>
  <c r="E92" i="19"/>
  <c r="D92" i="19"/>
  <c r="C92" i="19"/>
  <c r="B92" i="19"/>
  <c r="E91" i="19"/>
  <c r="D91" i="19"/>
  <c r="C91" i="19"/>
  <c r="B91" i="19"/>
  <c r="E90" i="19"/>
  <c r="D90" i="19"/>
  <c r="C90" i="19"/>
  <c r="B90" i="19"/>
  <c r="E89" i="19"/>
  <c r="D89" i="19"/>
  <c r="C89" i="19"/>
  <c r="B89" i="19"/>
  <c r="E88" i="19"/>
  <c r="D88" i="19"/>
  <c r="C88" i="19"/>
  <c r="B88" i="19"/>
  <c r="E87" i="19"/>
  <c r="D87" i="19"/>
  <c r="C87" i="19"/>
  <c r="B87" i="19"/>
  <c r="E86" i="19"/>
  <c r="D86" i="19"/>
  <c r="C86" i="19"/>
  <c r="B86" i="19"/>
  <c r="E85" i="19"/>
  <c r="D85" i="19"/>
  <c r="C85" i="19"/>
  <c r="B85" i="19"/>
  <c r="E84" i="19"/>
  <c r="D84" i="19"/>
  <c r="C84" i="19"/>
  <c r="B84" i="19"/>
  <c r="E83" i="19"/>
  <c r="D83" i="19"/>
  <c r="C83" i="19"/>
  <c r="B83" i="19"/>
  <c r="E82" i="19"/>
  <c r="D82" i="19"/>
  <c r="C82" i="19"/>
  <c r="B82" i="19"/>
  <c r="E81" i="19"/>
  <c r="D81" i="19"/>
  <c r="C81" i="19"/>
  <c r="B81" i="19"/>
  <c r="E80" i="19"/>
  <c r="D80" i="19"/>
  <c r="C80" i="19"/>
  <c r="B80" i="19"/>
  <c r="E79" i="19"/>
  <c r="D79" i="19"/>
  <c r="C79" i="19"/>
  <c r="B79" i="19"/>
  <c r="E78" i="19"/>
  <c r="D78" i="19"/>
  <c r="C78" i="19"/>
  <c r="B78" i="19"/>
  <c r="E77" i="19"/>
  <c r="D77" i="19"/>
  <c r="C77" i="19"/>
  <c r="B77" i="19"/>
  <c r="E76" i="19"/>
  <c r="D76" i="19"/>
  <c r="C76" i="19"/>
  <c r="B76" i="19"/>
  <c r="E75" i="19"/>
  <c r="D75" i="19"/>
  <c r="C75" i="19"/>
  <c r="B75" i="19"/>
  <c r="E74" i="19"/>
  <c r="D74" i="19"/>
  <c r="C74" i="19"/>
  <c r="B74" i="19"/>
  <c r="E73" i="19"/>
  <c r="D73" i="19"/>
  <c r="C73" i="19"/>
  <c r="B73" i="19"/>
  <c r="E72" i="19"/>
  <c r="D72" i="19"/>
  <c r="C72" i="19"/>
  <c r="B72" i="19"/>
  <c r="E71" i="19"/>
  <c r="D71" i="19"/>
  <c r="C71" i="19"/>
  <c r="B71" i="19"/>
  <c r="E70" i="19"/>
  <c r="D70" i="19"/>
  <c r="C70" i="19"/>
  <c r="B70" i="19"/>
  <c r="E69" i="19"/>
  <c r="D69" i="19"/>
  <c r="C69" i="19"/>
  <c r="B69" i="19"/>
  <c r="E68" i="19"/>
  <c r="D68" i="19"/>
  <c r="C68" i="19"/>
  <c r="B68" i="19"/>
  <c r="E67" i="19"/>
  <c r="D67" i="19"/>
  <c r="C67" i="19"/>
  <c r="B67" i="19"/>
  <c r="E66" i="19"/>
  <c r="D66" i="19"/>
  <c r="C66" i="19"/>
  <c r="B66" i="19"/>
  <c r="E65" i="19"/>
  <c r="D65" i="19"/>
  <c r="C65" i="19"/>
  <c r="B65" i="19"/>
  <c r="E64" i="19"/>
  <c r="D64" i="19"/>
  <c r="C64" i="19"/>
  <c r="B64" i="19"/>
  <c r="E63" i="19"/>
  <c r="D63" i="19"/>
  <c r="C63" i="19"/>
  <c r="B63" i="19"/>
  <c r="E62" i="19"/>
  <c r="D62" i="19"/>
  <c r="C62" i="19"/>
  <c r="B62" i="19"/>
  <c r="E61" i="19"/>
  <c r="D61" i="19"/>
  <c r="C61" i="19"/>
  <c r="B61" i="19"/>
  <c r="E60" i="19"/>
  <c r="D60" i="19"/>
  <c r="C60" i="19"/>
  <c r="B60" i="19"/>
  <c r="E59" i="19"/>
  <c r="D59" i="19"/>
  <c r="C59" i="19"/>
  <c r="B59" i="19"/>
  <c r="E58" i="19"/>
  <c r="D58" i="19"/>
  <c r="C58" i="19"/>
  <c r="B58" i="19"/>
  <c r="E57" i="19"/>
  <c r="D57" i="19"/>
  <c r="C57" i="19"/>
  <c r="B57" i="19"/>
  <c r="E56" i="19"/>
  <c r="D56" i="19"/>
  <c r="C56" i="19"/>
  <c r="B56" i="19"/>
  <c r="E55" i="19"/>
  <c r="D55" i="19"/>
  <c r="C55" i="19"/>
  <c r="B55" i="19"/>
  <c r="E54" i="19"/>
  <c r="D54" i="19"/>
  <c r="C54" i="19"/>
  <c r="B54" i="19"/>
  <c r="E53" i="19"/>
  <c r="D53" i="19"/>
  <c r="C53" i="19"/>
  <c r="B53" i="19"/>
  <c r="E52" i="19"/>
  <c r="D52" i="19"/>
  <c r="C52" i="19"/>
  <c r="B52" i="19"/>
  <c r="E51" i="19"/>
  <c r="D51" i="19"/>
  <c r="C51" i="19"/>
  <c r="B51" i="19"/>
  <c r="E50" i="19"/>
  <c r="D50" i="19"/>
  <c r="C50" i="19"/>
  <c r="B50" i="19"/>
  <c r="E49" i="19"/>
  <c r="D49" i="19"/>
  <c r="C49" i="19"/>
  <c r="B49" i="19"/>
  <c r="E48" i="19"/>
  <c r="D48" i="19"/>
  <c r="C48" i="19"/>
  <c r="B48" i="19"/>
  <c r="E47" i="19"/>
  <c r="D47" i="19"/>
  <c r="C47" i="19"/>
  <c r="B47" i="19"/>
  <c r="E46" i="19"/>
  <c r="D46" i="19"/>
  <c r="C46" i="19"/>
  <c r="B46" i="19"/>
  <c r="E45" i="19"/>
  <c r="D45" i="19"/>
  <c r="C45" i="19"/>
  <c r="B45" i="19"/>
  <c r="E44" i="19"/>
  <c r="D44" i="19"/>
  <c r="C44" i="19"/>
  <c r="B44" i="19"/>
  <c r="E43" i="19"/>
  <c r="D43" i="19"/>
  <c r="C43" i="19"/>
  <c r="B43" i="19"/>
  <c r="E42" i="19"/>
  <c r="D42" i="19"/>
  <c r="C42" i="19"/>
  <c r="B42" i="19"/>
  <c r="E41" i="19"/>
  <c r="D41" i="19"/>
  <c r="C41" i="19"/>
  <c r="B41" i="19"/>
  <c r="E40" i="19"/>
  <c r="D40" i="19"/>
  <c r="C40" i="19"/>
  <c r="B40" i="19"/>
  <c r="E39" i="19"/>
  <c r="D39" i="19"/>
  <c r="C39" i="19"/>
  <c r="B39" i="19"/>
  <c r="E38" i="19"/>
  <c r="D38" i="19"/>
  <c r="C38" i="19"/>
  <c r="B38" i="19"/>
  <c r="E37" i="19"/>
  <c r="D37" i="19"/>
  <c r="C37" i="19"/>
  <c r="B37" i="19"/>
  <c r="E36" i="19"/>
  <c r="D36" i="19"/>
  <c r="C36" i="19"/>
  <c r="B36" i="19"/>
  <c r="E35" i="19"/>
  <c r="D35" i="19"/>
  <c r="C35" i="19"/>
  <c r="B35" i="19"/>
  <c r="E34" i="19"/>
  <c r="D34" i="19"/>
  <c r="C34" i="19"/>
  <c r="B34" i="19"/>
  <c r="E33" i="19"/>
  <c r="D33" i="19"/>
  <c r="C33" i="19"/>
  <c r="B33" i="19"/>
  <c r="E32" i="19"/>
  <c r="D32" i="19"/>
  <c r="C32" i="19"/>
  <c r="B32" i="19"/>
  <c r="E31" i="19"/>
  <c r="D31" i="19"/>
  <c r="C31" i="19"/>
  <c r="B31" i="19"/>
  <c r="E30" i="19"/>
  <c r="D30" i="19"/>
  <c r="C30" i="19"/>
  <c r="B30" i="19"/>
  <c r="E29" i="19"/>
  <c r="D29" i="19"/>
  <c r="C29" i="19"/>
  <c r="B29" i="19"/>
  <c r="E28" i="19"/>
  <c r="D28" i="19"/>
  <c r="C28" i="19"/>
  <c r="B28" i="19"/>
  <c r="E27" i="19"/>
  <c r="D27" i="19"/>
  <c r="C27" i="19"/>
  <c r="B27" i="19"/>
  <c r="E26" i="19"/>
  <c r="D26" i="19"/>
  <c r="C26" i="19"/>
  <c r="B26" i="19"/>
  <c r="E25" i="19"/>
  <c r="D25" i="19"/>
  <c r="C25" i="19"/>
  <c r="B25" i="19"/>
  <c r="E24" i="19"/>
  <c r="D24" i="19"/>
  <c r="C24" i="19"/>
  <c r="B24" i="19"/>
  <c r="E23" i="19"/>
  <c r="D23" i="19"/>
  <c r="C23" i="19"/>
  <c r="B23" i="19"/>
  <c r="E22" i="19"/>
  <c r="D22" i="19"/>
  <c r="C22" i="19"/>
  <c r="B22" i="19"/>
  <c r="E21" i="19"/>
  <c r="D21" i="19"/>
  <c r="C21" i="19"/>
  <c r="B21" i="19"/>
  <c r="E20" i="19"/>
  <c r="D20" i="19"/>
  <c r="C20" i="19"/>
  <c r="B20" i="19"/>
  <c r="E19" i="19"/>
  <c r="D19" i="19"/>
  <c r="C19" i="19"/>
  <c r="B19" i="19"/>
  <c r="E18" i="19"/>
  <c r="D18" i="19"/>
  <c r="C18" i="19"/>
  <c r="B18" i="19"/>
  <c r="E17" i="19"/>
  <c r="D17" i="19"/>
  <c r="C17" i="19"/>
  <c r="B17" i="19"/>
  <c r="E16" i="19"/>
  <c r="D16" i="19"/>
  <c r="C16" i="19"/>
  <c r="B16" i="19"/>
  <c r="E15" i="19"/>
  <c r="D15" i="19"/>
  <c r="C15" i="19"/>
  <c r="B15" i="19"/>
  <c r="E14" i="19"/>
  <c r="D14" i="19"/>
  <c r="C14" i="19"/>
  <c r="B14" i="19"/>
  <c r="E13" i="19"/>
  <c r="D13" i="19"/>
  <c r="C13" i="19"/>
  <c r="B13" i="19"/>
  <c r="E12" i="19"/>
  <c r="D12" i="19"/>
  <c r="C12" i="19"/>
  <c r="B12" i="19"/>
  <c r="E11" i="19"/>
  <c r="D11" i="19"/>
  <c r="C11" i="19"/>
  <c r="B11" i="19"/>
  <c r="E10" i="19"/>
  <c r="D10" i="19"/>
  <c r="C10" i="19"/>
  <c r="B10" i="19"/>
  <c r="E9" i="19"/>
  <c r="D9" i="19"/>
  <c r="C9" i="19"/>
  <c r="B9" i="19"/>
  <c r="E8" i="19"/>
  <c r="D8" i="19"/>
  <c r="C8" i="19"/>
  <c r="B8" i="19"/>
  <c r="E7" i="19"/>
  <c r="D7" i="19"/>
  <c r="C7" i="19"/>
  <c r="B7" i="19"/>
  <c r="D4" i="19"/>
  <c r="C4" i="19"/>
  <c r="D150" i="18"/>
  <c r="D149" i="18"/>
  <c r="D148" i="18"/>
  <c r="D147" i="18"/>
  <c r="D146" i="18"/>
  <c r="D145" i="18"/>
  <c r="D144" i="18"/>
  <c r="D143" i="18"/>
  <c r="D142" i="18"/>
  <c r="D141" i="18"/>
  <c r="D139" i="18"/>
  <c r="D138" i="18"/>
  <c r="D137" i="18"/>
  <c r="D136" i="18"/>
  <c r="D135" i="18"/>
  <c r="D134" i="18"/>
  <c r="D133" i="18"/>
  <c r="D132" i="18"/>
  <c r="D131" i="18"/>
  <c r="D130" i="18"/>
  <c r="D128" i="18"/>
  <c r="D127" i="18"/>
  <c r="D126" i="18"/>
  <c r="D125" i="18"/>
  <c r="D124" i="18"/>
  <c r="D123" i="18"/>
  <c r="D122" i="18"/>
  <c r="D121" i="18"/>
  <c r="D120" i="18"/>
  <c r="D119" i="18"/>
  <c r="D118" i="18"/>
  <c r="D116" i="18"/>
  <c r="D115" i="18"/>
  <c r="D114" i="18"/>
  <c r="D113" i="18"/>
  <c r="D112" i="18"/>
  <c r="D111" i="18"/>
  <c r="D110" i="18"/>
  <c r="D109" i="18"/>
  <c r="D108" i="18"/>
  <c r="D107" i="18"/>
  <c r="D105" i="18"/>
  <c r="D104" i="18"/>
  <c r="D103" i="18"/>
  <c r="D102" i="18"/>
  <c r="D101" i="18"/>
  <c r="D100" i="18"/>
  <c r="D99" i="18"/>
  <c r="D98" i="18"/>
  <c r="D97" i="18"/>
  <c r="D96" i="18"/>
  <c r="D95" i="18"/>
  <c r="D94" i="18"/>
  <c r="D93" i="18"/>
  <c r="D92" i="18"/>
  <c r="D90" i="18"/>
  <c r="D89" i="18"/>
  <c r="D88" i="18"/>
  <c r="D87" i="18"/>
  <c r="D86" i="18"/>
  <c r="D85" i="18"/>
  <c r="D84" i="18"/>
  <c r="D83" i="18"/>
  <c r="D82" i="18"/>
  <c r="D81" i="18"/>
  <c r="D80" i="18"/>
  <c r="D78" i="18"/>
  <c r="D77" i="18"/>
  <c r="D76" i="18"/>
  <c r="D75" i="18"/>
  <c r="D74" i="18"/>
  <c r="D73" i="18"/>
  <c r="D72" i="18"/>
  <c r="D71" i="18"/>
  <c r="D70" i="18"/>
  <c r="D69" i="18"/>
  <c r="D67" i="18"/>
  <c r="D66" i="18"/>
  <c r="D65" i="18"/>
  <c r="D64" i="18"/>
  <c r="D63" i="18"/>
  <c r="D62" i="18"/>
  <c r="D61" i="18"/>
  <c r="D60" i="18"/>
  <c r="D59" i="18"/>
  <c r="D58" i="18"/>
  <c r="D57" i="18"/>
  <c r="D55" i="18"/>
  <c r="D54" i="18"/>
  <c r="D53" i="18"/>
  <c r="D52" i="18"/>
  <c r="D51" i="18"/>
  <c r="D50" i="18"/>
  <c r="D49" i="18"/>
  <c r="D48" i="18"/>
  <c r="D47" i="18"/>
  <c r="D46" i="18"/>
  <c r="D45" i="18"/>
  <c r="D43" i="18"/>
  <c r="D42" i="18"/>
  <c r="D41" i="18"/>
  <c r="D40" i="18"/>
  <c r="D39" i="18"/>
  <c r="D38" i="18"/>
  <c r="D37" i="18"/>
  <c r="D36" i="18"/>
  <c r="D35" i="18"/>
  <c r="D34" i="18"/>
  <c r="D33" i="18"/>
  <c r="D32" i="18"/>
  <c r="D30" i="18"/>
  <c r="D29" i="18"/>
  <c r="D28" i="18"/>
  <c r="D27" i="18"/>
  <c r="D26" i="18"/>
  <c r="D25" i="18"/>
  <c r="D24" i="18"/>
  <c r="D23" i="18"/>
  <c r="D22" i="18"/>
  <c r="D21" i="18"/>
  <c r="D20" i="18"/>
  <c r="D19" i="18"/>
  <c r="D17" i="18"/>
  <c r="D16" i="18"/>
  <c r="D15" i="18"/>
  <c r="D14" i="18"/>
  <c r="D13" i="18"/>
  <c r="D12" i="18"/>
  <c r="D11" i="18"/>
  <c r="D10" i="18"/>
  <c r="D9" i="18"/>
  <c r="D8" i="18"/>
  <c r="E3" i="18" s="1"/>
  <c r="D7" i="18"/>
  <c r="D6" i="18"/>
  <c r="M56" i="17"/>
  <c r="L56" i="17"/>
  <c r="M55" i="17"/>
  <c r="L55" i="17"/>
  <c r="M54" i="17"/>
  <c r="L54" i="17"/>
  <c r="M53" i="17"/>
  <c r="L53" i="17"/>
  <c r="M52" i="17"/>
  <c r="L52" i="17"/>
  <c r="M51" i="17"/>
  <c r="L51" i="17"/>
  <c r="M50" i="17"/>
  <c r="L50" i="17"/>
  <c r="M49" i="17"/>
  <c r="L49" i="17"/>
  <c r="M48" i="17"/>
  <c r="L48" i="17"/>
  <c r="M47" i="17"/>
  <c r="L47" i="17"/>
  <c r="M46" i="17"/>
  <c r="L46" i="17"/>
  <c r="M45" i="17"/>
  <c r="L45" i="17"/>
  <c r="M44" i="17"/>
  <c r="L44" i="17"/>
  <c r="M43" i="17"/>
  <c r="L43" i="17"/>
  <c r="M42" i="17"/>
  <c r="L42" i="17"/>
  <c r="M41" i="17"/>
  <c r="L41" i="17"/>
  <c r="M40" i="17"/>
  <c r="L40" i="17"/>
  <c r="M39" i="17"/>
  <c r="L39" i="17"/>
  <c r="M38" i="17"/>
  <c r="L38" i="17"/>
  <c r="M37" i="17"/>
  <c r="L37" i="17"/>
  <c r="M36" i="17"/>
  <c r="L36" i="17"/>
  <c r="M35" i="17"/>
  <c r="L35" i="17"/>
  <c r="M34" i="17"/>
  <c r="L34" i="17"/>
  <c r="M33" i="17"/>
  <c r="L33" i="17"/>
  <c r="M32" i="17"/>
  <c r="L32" i="17"/>
  <c r="M31" i="17"/>
  <c r="L31" i="17"/>
  <c r="M30" i="17"/>
  <c r="L30" i="17"/>
  <c r="M29" i="17"/>
  <c r="L29" i="17"/>
  <c r="M28" i="17"/>
  <c r="L28" i="17"/>
  <c r="M27" i="17"/>
  <c r="L27" i="17"/>
  <c r="M26" i="17"/>
  <c r="L26" i="17"/>
  <c r="M25" i="17"/>
  <c r="L25" i="17"/>
  <c r="M24" i="17"/>
  <c r="L24" i="17"/>
  <c r="M23" i="17"/>
  <c r="L23" i="17"/>
  <c r="M22" i="17"/>
  <c r="L22" i="17"/>
  <c r="M21" i="17"/>
  <c r="L21" i="17"/>
  <c r="M20" i="17"/>
  <c r="L20" i="17"/>
  <c r="M19" i="17"/>
  <c r="L19" i="17"/>
  <c r="M18" i="17"/>
  <c r="L18" i="17"/>
  <c r="M17" i="17"/>
  <c r="L17" i="17"/>
  <c r="M16" i="17"/>
  <c r="L16" i="17"/>
  <c r="M15" i="17"/>
  <c r="L15" i="17"/>
  <c r="M14" i="17"/>
  <c r="L14" i="17"/>
  <c r="M13" i="17"/>
  <c r="L13" i="17"/>
  <c r="M12" i="17"/>
  <c r="L12" i="17"/>
  <c r="M11" i="17"/>
  <c r="L11" i="17"/>
  <c r="M10" i="17"/>
  <c r="L10" i="17"/>
  <c r="M9" i="17"/>
  <c r="L9" i="17"/>
  <c r="M8" i="17"/>
  <c r="L8" i="17"/>
  <c r="M7" i="17"/>
  <c r="L7" i="17"/>
  <c r="M6" i="17"/>
  <c r="L6" i="17"/>
  <c r="M5" i="17"/>
  <c r="L5" i="17"/>
  <c r="N3" i="17"/>
  <c r="G91" i="16"/>
  <c r="F91" i="16"/>
  <c r="G90" i="16"/>
  <c r="F90" i="16"/>
  <c r="G89" i="16"/>
  <c r="F89" i="16"/>
  <c r="G87" i="16"/>
  <c r="F87" i="16"/>
  <c r="G86" i="16"/>
  <c r="F86" i="16"/>
  <c r="G85" i="16"/>
  <c r="F85" i="16"/>
  <c r="G84" i="16"/>
  <c r="F84" i="16"/>
  <c r="G82" i="16"/>
  <c r="F82" i="16"/>
  <c r="G81" i="16"/>
  <c r="F81" i="16"/>
  <c r="G80" i="16"/>
  <c r="F80" i="16"/>
  <c r="G79" i="16"/>
  <c r="F79" i="16"/>
  <c r="G77" i="16"/>
  <c r="F77" i="16"/>
  <c r="G76" i="16"/>
  <c r="F76" i="16"/>
  <c r="G75" i="16"/>
  <c r="F75" i="16"/>
  <c r="G74" i="16"/>
  <c r="F74" i="16"/>
  <c r="G72" i="16"/>
  <c r="F72" i="16"/>
  <c r="G71" i="16"/>
  <c r="F71" i="16"/>
  <c r="G70" i="16"/>
  <c r="F70" i="16"/>
  <c r="G69" i="16"/>
  <c r="F69" i="16"/>
  <c r="G68" i="16"/>
  <c r="F68" i="16"/>
  <c r="G66" i="16"/>
  <c r="F66" i="16"/>
  <c r="G65" i="16"/>
  <c r="F65" i="16"/>
  <c r="G64" i="16"/>
  <c r="F64" i="16"/>
  <c r="G63" i="16"/>
  <c r="F63" i="16"/>
  <c r="G62" i="16"/>
  <c r="F62" i="16"/>
  <c r="G60" i="16"/>
  <c r="F60" i="16"/>
  <c r="G59" i="16"/>
  <c r="F59" i="16"/>
  <c r="G58" i="16"/>
  <c r="F58" i="16"/>
  <c r="G57" i="16"/>
  <c r="F57" i="16"/>
  <c r="G55" i="16"/>
  <c r="F55" i="16"/>
  <c r="G54" i="16"/>
  <c r="F54" i="16"/>
  <c r="G53" i="16"/>
  <c r="F53" i="16"/>
  <c r="G52" i="16"/>
  <c r="F52" i="16"/>
  <c r="G51" i="16"/>
  <c r="F51" i="16"/>
  <c r="G49" i="16"/>
  <c r="F49" i="16"/>
  <c r="G48" i="16"/>
  <c r="F48" i="16"/>
  <c r="G47" i="16"/>
  <c r="F47" i="16"/>
  <c r="G45" i="16"/>
  <c r="F45" i="16"/>
  <c r="G44" i="16"/>
  <c r="F44" i="16"/>
  <c r="G43" i="16"/>
  <c r="F43" i="16"/>
  <c r="G42" i="16"/>
  <c r="F42" i="16"/>
  <c r="G41" i="16"/>
  <c r="F41" i="16"/>
  <c r="G39" i="16"/>
  <c r="F39" i="16"/>
  <c r="G38" i="16"/>
  <c r="F38" i="16"/>
  <c r="G37" i="16"/>
  <c r="F37" i="16"/>
  <c r="G36" i="16"/>
  <c r="F36" i="16"/>
  <c r="G34" i="16"/>
  <c r="F34" i="16"/>
  <c r="G33" i="16"/>
  <c r="F33" i="16"/>
  <c r="G32" i="16"/>
  <c r="F32" i="16"/>
  <c r="G31" i="16"/>
  <c r="F31" i="16"/>
  <c r="G30" i="16"/>
  <c r="F30" i="16"/>
  <c r="G29" i="16"/>
  <c r="F29" i="16"/>
  <c r="G27" i="16"/>
  <c r="F27" i="16"/>
  <c r="G26" i="16"/>
  <c r="F26" i="16"/>
  <c r="G25" i="16"/>
  <c r="F25" i="16"/>
  <c r="G24" i="16"/>
  <c r="F24" i="16"/>
  <c r="G23" i="16"/>
  <c r="F23" i="16"/>
  <c r="G21" i="16"/>
  <c r="F21" i="16"/>
  <c r="G20" i="16"/>
  <c r="F20" i="16"/>
  <c r="G19" i="16"/>
  <c r="F19" i="16"/>
  <c r="G18" i="16"/>
  <c r="F18" i="16"/>
  <c r="G17" i="16"/>
  <c r="F17" i="16"/>
  <c r="G16" i="16"/>
  <c r="F16" i="16"/>
  <c r="G15" i="16"/>
  <c r="F15" i="16"/>
  <c r="G13" i="16"/>
  <c r="F13" i="16"/>
  <c r="G12" i="16"/>
  <c r="F12" i="16"/>
  <c r="G11" i="16"/>
  <c r="F11" i="16"/>
  <c r="G10" i="16"/>
  <c r="F10" i="16"/>
  <c r="G9" i="16"/>
  <c r="F9" i="16"/>
  <c r="G6" i="16"/>
  <c r="K3" i="16"/>
  <c r="Q29" i="15"/>
  <c r="Q28" i="15"/>
  <c r="Q27" i="15"/>
  <c r="Q26" i="15"/>
  <c r="Q25" i="15"/>
  <c r="Q24" i="15"/>
  <c r="Q23" i="15"/>
  <c r="Q22" i="15"/>
  <c r="Q21" i="15"/>
  <c r="Q20" i="15"/>
  <c r="Q18" i="15"/>
  <c r="Q17" i="15"/>
  <c r="Q16" i="15"/>
  <c r="Q15" i="15"/>
  <c r="Q14" i="15"/>
  <c r="Q13" i="15"/>
  <c r="Q12" i="15"/>
  <c r="Q11" i="15"/>
  <c r="Q10" i="15"/>
  <c r="E14" i="4" s="1"/>
  <c r="Q8" i="15"/>
  <c r="Q7" i="15"/>
  <c r="Q6" i="15"/>
  <c r="Q3" i="15"/>
  <c r="Q22" i="14"/>
  <c r="Q21" i="14"/>
  <c r="Q20" i="14"/>
  <c r="Q19" i="14"/>
  <c r="Q18" i="14"/>
  <c r="Q17" i="14"/>
  <c r="Q16" i="14"/>
  <c r="Q14" i="14"/>
  <c r="Q13" i="14"/>
  <c r="Q12" i="14"/>
  <c r="Q11" i="14"/>
  <c r="Q9" i="14"/>
  <c r="Q8" i="14"/>
  <c r="Q7" i="14"/>
  <c r="Q6" i="14"/>
  <c r="E13" i="4" s="1"/>
  <c r="Q3" i="14"/>
  <c r="Q37" i="13"/>
  <c r="Q36" i="13"/>
  <c r="Q35" i="13"/>
  <c r="Q34" i="13"/>
  <c r="Q33" i="13"/>
  <c r="Q32" i="13"/>
  <c r="Q31" i="13"/>
  <c r="Q30" i="13"/>
  <c r="Q29" i="13"/>
  <c r="Q28" i="13"/>
  <c r="Q27" i="13"/>
  <c r="Q26" i="13"/>
  <c r="Q24" i="13"/>
  <c r="Q23" i="13"/>
  <c r="Q22" i="13"/>
  <c r="Q21" i="13"/>
  <c r="Q20" i="13"/>
  <c r="Q19" i="13"/>
  <c r="Q18" i="13"/>
  <c r="Q17" i="13"/>
  <c r="Q15" i="13"/>
  <c r="Q14" i="13"/>
  <c r="Q13" i="13"/>
  <c r="Q12" i="13"/>
  <c r="Q11" i="13"/>
  <c r="Q9" i="13"/>
  <c r="Q8" i="13"/>
  <c r="Q7" i="13"/>
  <c r="F12" i="4" s="1"/>
  <c r="Q6" i="13"/>
  <c r="Q3" i="13"/>
  <c r="Q23" i="12"/>
  <c r="Q22" i="12"/>
  <c r="Q21" i="12"/>
  <c r="Q20" i="12"/>
  <c r="Q19" i="12"/>
  <c r="Q17" i="12"/>
  <c r="Q16" i="12"/>
  <c r="Q15" i="12"/>
  <c r="Q14" i="12"/>
  <c r="Q13" i="12"/>
  <c r="Q12" i="12"/>
  <c r="Q11" i="12"/>
  <c r="Q9" i="12"/>
  <c r="Q8" i="12"/>
  <c r="F11" i="4" s="1"/>
  <c r="Q7" i="12"/>
  <c r="Q6" i="12"/>
  <c r="Q3" i="12"/>
  <c r="Q23" i="11"/>
  <c r="Q22" i="11"/>
  <c r="Q21" i="11"/>
  <c r="Q20" i="11"/>
  <c r="Q19" i="11"/>
  <c r="Q18" i="11"/>
  <c r="Q16" i="11"/>
  <c r="Q15" i="11"/>
  <c r="Q14" i="11"/>
  <c r="Q13" i="11"/>
  <c r="Q12" i="11"/>
  <c r="Q10" i="11"/>
  <c r="Q9" i="11"/>
  <c r="Q8" i="11"/>
  <c r="Q7" i="11"/>
  <c r="Q6" i="11"/>
  <c r="Q3" i="11"/>
  <c r="Q28" i="10"/>
  <c r="Q27" i="10"/>
  <c r="Q26" i="10"/>
  <c r="Q25" i="10"/>
  <c r="Q24" i="10"/>
  <c r="Q23" i="10"/>
  <c r="Q22" i="10"/>
  <c r="Q20" i="10"/>
  <c r="Q19" i="10"/>
  <c r="Q18" i="10"/>
  <c r="Q17" i="10"/>
  <c r="Q16" i="10"/>
  <c r="Q15" i="10"/>
  <c r="Q14" i="10"/>
  <c r="Q13" i="10"/>
  <c r="Q11" i="10"/>
  <c r="Q10" i="10"/>
  <c r="Q9" i="10"/>
  <c r="Q8" i="10"/>
  <c r="Q7" i="10"/>
  <c r="F9" i="4" s="1"/>
  <c r="Q6" i="10"/>
  <c r="Q3" i="10"/>
  <c r="Q24" i="9"/>
  <c r="Q23" i="9"/>
  <c r="Q22" i="9"/>
  <c r="Q21" i="9"/>
  <c r="Q20" i="9"/>
  <c r="Q19" i="9"/>
  <c r="Q17" i="9"/>
  <c r="Q16" i="9"/>
  <c r="Q15" i="9"/>
  <c r="Q14" i="9"/>
  <c r="Q12" i="9"/>
  <c r="Q11" i="9"/>
  <c r="Q10" i="9"/>
  <c r="Q9" i="9"/>
  <c r="Q8" i="9"/>
  <c r="Q7" i="9"/>
  <c r="Q6" i="9"/>
  <c r="F8" i="4" s="1"/>
  <c r="Q3" i="9"/>
  <c r="Q29" i="8"/>
  <c r="Q28" i="8"/>
  <c r="Q27" i="8"/>
  <c r="Q26" i="8"/>
  <c r="Q25" i="8"/>
  <c r="Q24" i="8"/>
  <c r="Q22" i="8"/>
  <c r="Q21" i="8"/>
  <c r="Q20" i="8"/>
  <c r="Q19" i="8"/>
  <c r="Q18" i="8"/>
  <c r="Q17" i="8"/>
  <c r="Q15" i="8"/>
  <c r="Q14" i="8"/>
  <c r="Q13" i="8"/>
  <c r="Q12" i="8"/>
  <c r="Q10" i="8"/>
  <c r="Q9" i="8"/>
  <c r="Q8" i="8"/>
  <c r="Q7" i="8"/>
  <c r="F7" i="4" s="1"/>
  <c r="Q6" i="8"/>
  <c r="Q3" i="8"/>
  <c r="Q33" i="7"/>
  <c r="Q32" i="7"/>
  <c r="Q31" i="7"/>
  <c r="Q29" i="7"/>
  <c r="Q28" i="7"/>
  <c r="Q27" i="7"/>
  <c r="Q26" i="7"/>
  <c r="Q25" i="7"/>
  <c r="Q24" i="7"/>
  <c r="Q23" i="7"/>
  <c r="Q21" i="7"/>
  <c r="Q20" i="7"/>
  <c r="Q19" i="7"/>
  <c r="Q18" i="7"/>
  <c r="Q17" i="7"/>
  <c r="Q16" i="7"/>
  <c r="Q14" i="7"/>
  <c r="Q13" i="7"/>
  <c r="Q12" i="7"/>
  <c r="Q11" i="7"/>
  <c r="Q10" i="7"/>
  <c r="Q9" i="7"/>
  <c r="E6" i="4" s="1"/>
  <c r="Q8" i="7"/>
  <c r="Q7" i="7"/>
  <c r="Q6" i="7"/>
  <c r="Q3" i="7"/>
  <c r="Q38" i="6"/>
  <c r="Q37" i="6"/>
  <c r="Q36" i="6"/>
  <c r="Q35" i="6"/>
  <c r="Q34" i="6"/>
  <c r="Q33" i="6"/>
  <c r="Q31" i="6"/>
  <c r="Q30" i="6"/>
  <c r="Q29" i="6"/>
  <c r="Q28" i="6"/>
  <c r="Q27" i="6"/>
  <c r="Q25" i="6"/>
  <c r="Q24" i="6"/>
  <c r="Q23" i="6"/>
  <c r="Q22" i="6"/>
  <c r="Q21" i="6"/>
  <c r="Q19" i="6"/>
  <c r="Q18" i="6"/>
  <c r="Q17" i="6"/>
  <c r="Q16" i="6"/>
  <c r="Q15" i="6"/>
  <c r="Q14" i="6"/>
  <c r="Q12" i="6"/>
  <c r="Q11" i="6"/>
  <c r="Q10" i="6"/>
  <c r="Q9" i="6"/>
  <c r="Q8" i="6"/>
  <c r="Q7" i="6"/>
  <c r="E5" i="4" s="1"/>
  <c r="Q6" i="6"/>
  <c r="Q3" i="6"/>
  <c r="Q34" i="5"/>
  <c r="Q33" i="5"/>
  <c r="Q32" i="5"/>
  <c r="Q31" i="5"/>
  <c r="Q30" i="5"/>
  <c r="Q28" i="5"/>
  <c r="Q27" i="5"/>
  <c r="Q26" i="5"/>
  <c r="Q25" i="5"/>
  <c r="Q24" i="5"/>
  <c r="Q23" i="5"/>
  <c r="Q22" i="5"/>
  <c r="Q20" i="5"/>
  <c r="Q19" i="5"/>
  <c r="Q18" i="5"/>
  <c r="Q17" i="5"/>
  <c r="Q16" i="5"/>
  <c r="Q15" i="5"/>
  <c r="Q13" i="5"/>
  <c r="Q12" i="5"/>
  <c r="Q11" i="5"/>
  <c r="Q10" i="5"/>
  <c r="Q9" i="5"/>
  <c r="Q8" i="5"/>
  <c r="Q7" i="5"/>
  <c r="Q6" i="5"/>
  <c r="F4" i="4" s="1"/>
  <c r="Q3" i="5"/>
  <c r="C14" i="4"/>
  <c r="B14" i="4"/>
  <c r="D14" i="4" s="1"/>
  <c r="F13" i="4"/>
  <c r="C13" i="4"/>
  <c r="B13" i="4"/>
  <c r="D13" i="4" s="1"/>
  <c r="C12" i="4"/>
  <c r="D12" i="4" s="1"/>
  <c r="B12" i="4"/>
  <c r="D11" i="4"/>
  <c r="C11" i="4"/>
  <c r="B11" i="4"/>
  <c r="F10" i="4"/>
  <c r="E10" i="4"/>
  <c r="C10" i="4"/>
  <c r="B10" i="4"/>
  <c r="D10" i="4" s="1"/>
  <c r="C9" i="4"/>
  <c r="B9" i="4"/>
  <c r="D9" i="4" s="1"/>
  <c r="D8" i="4"/>
  <c r="C8" i="4"/>
  <c r="B8" i="4"/>
  <c r="E7" i="4"/>
  <c r="D7" i="4"/>
  <c r="C7" i="4"/>
  <c r="B7" i="4"/>
  <c r="C6" i="4"/>
  <c r="B6" i="4"/>
  <c r="D6" i="4" s="1"/>
  <c r="F5" i="4"/>
  <c r="C5" i="4"/>
  <c r="B5" i="4"/>
  <c r="D5" i="4" s="1"/>
  <c r="C4" i="4"/>
  <c r="B4" i="4"/>
  <c r="B8" i="3"/>
  <c r="B7" i="3"/>
  <c r="B6" i="3"/>
  <c r="B5" i="3"/>
  <c r="B4" i="3"/>
  <c r="C21" i="2"/>
  <c r="D21" i="2" s="1"/>
  <c r="C20" i="2"/>
  <c r="D20" i="2" s="1"/>
  <c r="D19" i="2"/>
  <c r="C19" i="2"/>
  <c r="C18" i="2"/>
  <c r="C17" i="2"/>
  <c r="D17" i="2" s="1"/>
  <c r="C16" i="2"/>
  <c r="D16" i="2" s="1"/>
  <c r="D15" i="2"/>
  <c r="C15" i="2"/>
  <c r="C14" i="2"/>
  <c r="C13" i="2"/>
  <c r="D13" i="2" s="1"/>
  <c r="C12" i="2"/>
  <c r="D12" i="2" s="1"/>
  <c r="D11" i="2"/>
  <c r="C11" i="2"/>
  <c r="C10" i="2"/>
  <c r="C9" i="2"/>
  <c r="D9" i="2" s="1"/>
  <c r="C8" i="2"/>
  <c r="D8" i="2" s="1"/>
  <c r="D7" i="2"/>
  <c r="C7" i="2"/>
  <c r="C6" i="2"/>
  <c r="C5" i="2"/>
  <c r="D5" i="2" s="1"/>
  <c r="C4" i="2"/>
  <c r="D4" i="2" s="1"/>
  <c r="K123" i="1"/>
  <c r="I123" i="1"/>
  <c r="H123" i="1"/>
  <c r="A123" i="1"/>
  <c r="K122" i="1"/>
  <c r="I122" i="1"/>
  <c r="H122" i="1"/>
  <c r="A122" i="1"/>
  <c r="K121" i="1"/>
  <c r="I121" i="1"/>
  <c r="H121" i="1"/>
  <c r="A121" i="1"/>
  <c r="K120" i="1"/>
  <c r="I120" i="1"/>
  <c r="H120" i="1"/>
  <c r="A120" i="1"/>
  <c r="K119" i="1"/>
  <c r="I119" i="1"/>
  <c r="H119" i="1"/>
  <c r="A119" i="1"/>
  <c r="K118" i="1"/>
  <c r="I118" i="1"/>
  <c r="H118" i="1"/>
  <c r="A118" i="1"/>
  <c r="K117" i="1"/>
  <c r="I117" i="1"/>
  <c r="H117" i="1"/>
  <c r="A117" i="1"/>
  <c r="K116" i="1"/>
  <c r="I116" i="1"/>
  <c r="H116" i="1"/>
  <c r="A116" i="1"/>
  <c r="K115" i="1"/>
  <c r="I115" i="1"/>
  <c r="H115" i="1"/>
  <c r="A115" i="1"/>
  <c r="K114" i="1"/>
  <c r="I114" i="1"/>
  <c r="H114" i="1"/>
  <c r="A114" i="1"/>
  <c r="K113" i="1"/>
  <c r="I113" i="1"/>
  <c r="H113" i="1"/>
  <c r="A113" i="1"/>
  <c r="K112" i="1"/>
  <c r="I112" i="1"/>
  <c r="H112" i="1"/>
  <c r="A112" i="1"/>
  <c r="K111" i="1"/>
  <c r="I111" i="1"/>
  <c r="H111" i="1"/>
  <c r="A111" i="1"/>
  <c r="K110" i="1"/>
  <c r="I110" i="1"/>
  <c r="H110" i="1"/>
  <c r="A110" i="1"/>
  <c r="K109" i="1"/>
  <c r="I109" i="1"/>
  <c r="H109" i="1"/>
  <c r="A109" i="1"/>
  <c r="K108" i="1"/>
  <c r="I108" i="1"/>
  <c r="H108" i="1"/>
  <c r="A108" i="1"/>
  <c r="K107" i="1"/>
  <c r="I107" i="1"/>
  <c r="H107" i="1"/>
  <c r="A107" i="1"/>
  <c r="K106" i="1"/>
  <c r="I106" i="1"/>
  <c r="H106" i="1"/>
  <c r="A106" i="1"/>
  <c r="K105" i="1"/>
  <c r="I105" i="1"/>
  <c r="H105" i="1"/>
  <c r="A105" i="1"/>
  <c r="K104" i="1"/>
  <c r="I104" i="1"/>
  <c r="H104" i="1"/>
  <c r="A104" i="1"/>
  <c r="K103" i="1"/>
  <c r="I103" i="1"/>
  <c r="H103" i="1"/>
  <c r="D18" i="2" s="1"/>
  <c r="A103" i="1"/>
  <c r="K102" i="1"/>
  <c r="I102" i="1"/>
  <c r="H102" i="1"/>
  <c r="A102" i="1"/>
  <c r="K101" i="1"/>
  <c r="I101" i="1"/>
  <c r="H101" i="1"/>
  <c r="A101" i="1"/>
  <c r="K100" i="1"/>
  <c r="I100" i="1"/>
  <c r="H100" i="1"/>
  <c r="A100" i="1"/>
  <c r="K99" i="1"/>
  <c r="I99" i="1"/>
  <c r="H99" i="1"/>
  <c r="A99" i="1"/>
  <c r="K98" i="1"/>
  <c r="I98" i="1"/>
  <c r="H98" i="1"/>
  <c r="A98" i="1"/>
  <c r="K97" i="1"/>
  <c r="I97" i="1"/>
  <c r="H97" i="1"/>
  <c r="A97" i="1"/>
  <c r="K96" i="1"/>
  <c r="I96" i="1"/>
  <c r="H96" i="1"/>
  <c r="A96" i="1"/>
  <c r="K95" i="1"/>
  <c r="I95" i="1"/>
  <c r="H95" i="1"/>
  <c r="A95" i="1"/>
  <c r="K94" i="1"/>
  <c r="I94" i="1"/>
  <c r="H94" i="1"/>
  <c r="A94" i="1"/>
  <c r="K93" i="1"/>
  <c r="I93" i="1"/>
  <c r="H93" i="1"/>
  <c r="A93" i="1"/>
  <c r="K92" i="1"/>
  <c r="I92" i="1"/>
  <c r="H92" i="1"/>
  <c r="A92" i="1"/>
  <c r="K91" i="1"/>
  <c r="I91" i="1"/>
  <c r="H91" i="1"/>
  <c r="A91" i="1"/>
  <c r="K90" i="1"/>
  <c r="I90" i="1"/>
  <c r="H90" i="1"/>
  <c r="A90" i="1"/>
  <c r="K89" i="1"/>
  <c r="I89" i="1"/>
  <c r="H89" i="1"/>
  <c r="A89" i="1"/>
  <c r="K88" i="1"/>
  <c r="I88" i="1"/>
  <c r="H88" i="1"/>
  <c r="A88" i="1"/>
  <c r="K87" i="1"/>
  <c r="I87" i="1"/>
  <c r="H87" i="1"/>
  <c r="A87" i="1"/>
  <c r="K86" i="1"/>
  <c r="I86" i="1"/>
  <c r="H86" i="1"/>
  <c r="A86" i="1"/>
  <c r="K85" i="1"/>
  <c r="I85" i="1"/>
  <c r="H85" i="1"/>
  <c r="A85" i="1"/>
  <c r="K84" i="1"/>
  <c r="I84" i="1"/>
  <c r="H84" i="1"/>
  <c r="A84" i="1"/>
  <c r="K83" i="1"/>
  <c r="I83" i="1"/>
  <c r="H83" i="1"/>
  <c r="A83" i="1"/>
  <c r="K82" i="1"/>
  <c r="I82" i="1"/>
  <c r="H82" i="1"/>
  <c r="A82" i="1"/>
  <c r="K81" i="1"/>
  <c r="I81" i="1"/>
  <c r="H81" i="1"/>
  <c r="A81" i="1"/>
  <c r="K80" i="1"/>
  <c r="I80" i="1"/>
  <c r="H80" i="1"/>
  <c r="A80" i="1"/>
  <c r="K79" i="1"/>
  <c r="I79" i="1"/>
  <c r="H79" i="1"/>
  <c r="A79" i="1"/>
  <c r="K78" i="1"/>
  <c r="I78" i="1"/>
  <c r="H78" i="1"/>
  <c r="A78" i="1"/>
  <c r="K77" i="1"/>
  <c r="I77" i="1"/>
  <c r="H77" i="1"/>
  <c r="A77" i="1"/>
  <c r="K76" i="1"/>
  <c r="I76" i="1"/>
  <c r="H76" i="1"/>
  <c r="A76" i="1"/>
  <c r="K75" i="1"/>
  <c r="I75" i="1"/>
  <c r="H75" i="1"/>
  <c r="D14" i="2" s="1"/>
  <c r="A75" i="1"/>
  <c r="K74" i="1"/>
  <c r="I74" i="1"/>
  <c r="H74" i="1"/>
  <c r="A74" i="1"/>
  <c r="K73" i="1"/>
  <c r="I73" i="1"/>
  <c r="H73" i="1"/>
  <c r="A73" i="1"/>
  <c r="K72" i="1"/>
  <c r="I72" i="1"/>
  <c r="H72" i="1"/>
  <c r="A72" i="1"/>
  <c r="K71" i="1"/>
  <c r="I71" i="1"/>
  <c r="H71" i="1"/>
  <c r="A71" i="1"/>
  <c r="K70" i="1"/>
  <c r="I70" i="1"/>
  <c r="H70" i="1"/>
  <c r="A70" i="1"/>
  <c r="K69" i="1"/>
  <c r="I69" i="1"/>
  <c r="H69" i="1"/>
  <c r="A69" i="1"/>
  <c r="K68" i="1"/>
  <c r="I68" i="1"/>
  <c r="H68" i="1"/>
  <c r="A68" i="1"/>
  <c r="K67" i="1"/>
  <c r="I67" i="1"/>
  <c r="H67" i="1"/>
  <c r="A67" i="1"/>
  <c r="K66" i="1"/>
  <c r="I66" i="1"/>
  <c r="H66" i="1"/>
  <c r="A66" i="1"/>
  <c r="K65" i="1"/>
  <c r="I65" i="1"/>
  <c r="H65" i="1"/>
  <c r="A65" i="1"/>
  <c r="K64" i="1"/>
  <c r="I64" i="1"/>
  <c r="H64" i="1"/>
  <c r="A64" i="1"/>
  <c r="K63" i="1"/>
  <c r="I63" i="1"/>
  <c r="H63" i="1"/>
  <c r="A63" i="1"/>
  <c r="K62" i="1"/>
  <c r="I62" i="1"/>
  <c r="H62" i="1"/>
  <c r="A62" i="1"/>
  <c r="K61" i="1"/>
  <c r="I61" i="1"/>
  <c r="H61" i="1"/>
  <c r="A61" i="1"/>
  <c r="K60" i="1"/>
  <c r="I60" i="1"/>
  <c r="H60" i="1"/>
  <c r="A60" i="1"/>
  <c r="K59" i="1"/>
  <c r="I59" i="1"/>
  <c r="H59" i="1"/>
  <c r="A59" i="1"/>
  <c r="K58" i="1"/>
  <c r="I58" i="1"/>
  <c r="H58" i="1"/>
  <c r="A58" i="1"/>
  <c r="K57" i="1"/>
  <c r="I57" i="1"/>
  <c r="H57" i="1"/>
  <c r="A57" i="1"/>
  <c r="K56" i="1"/>
  <c r="I56" i="1"/>
  <c r="H56" i="1"/>
  <c r="A56" i="1"/>
  <c r="K55" i="1"/>
  <c r="I55" i="1"/>
  <c r="H55" i="1"/>
  <c r="A55" i="1"/>
  <c r="K54" i="1"/>
  <c r="I54" i="1"/>
  <c r="H54" i="1"/>
  <c r="A54" i="1"/>
  <c r="K53" i="1"/>
  <c r="I53" i="1"/>
  <c r="H53" i="1"/>
  <c r="A53" i="1"/>
  <c r="K52" i="1"/>
  <c r="I52" i="1"/>
  <c r="H52" i="1"/>
  <c r="A52" i="1"/>
  <c r="K51" i="1"/>
  <c r="I51" i="1"/>
  <c r="H51" i="1"/>
  <c r="A51" i="1"/>
  <c r="K50" i="1"/>
  <c r="I50" i="1"/>
  <c r="H50" i="1"/>
  <c r="A50" i="1"/>
  <c r="K49" i="1"/>
  <c r="I49" i="1"/>
  <c r="H49" i="1"/>
  <c r="A49" i="1"/>
  <c r="K48" i="1"/>
  <c r="I48" i="1"/>
  <c r="H48" i="1"/>
  <c r="A48" i="1"/>
  <c r="K47" i="1"/>
  <c r="I47" i="1"/>
  <c r="H47" i="1"/>
  <c r="D10" i="2" s="1"/>
  <c r="A47" i="1"/>
  <c r="K46" i="1"/>
  <c r="I46" i="1"/>
  <c r="H46" i="1"/>
  <c r="A46" i="1"/>
  <c r="K45" i="1"/>
  <c r="I45" i="1"/>
  <c r="H45" i="1"/>
  <c r="A45" i="1"/>
  <c r="K44" i="1"/>
  <c r="I44" i="1"/>
  <c r="H44" i="1"/>
  <c r="A44" i="1"/>
  <c r="K43" i="1"/>
  <c r="I43" i="1"/>
  <c r="H43" i="1"/>
  <c r="A43" i="1"/>
  <c r="K42" i="1"/>
  <c r="I42" i="1"/>
  <c r="H42" i="1"/>
  <c r="A42" i="1"/>
  <c r="K41" i="1"/>
  <c r="I41" i="1"/>
  <c r="H41" i="1"/>
  <c r="A41" i="1"/>
  <c r="K40" i="1"/>
  <c r="I40" i="1"/>
  <c r="H40" i="1"/>
  <c r="A40" i="1"/>
  <c r="K39" i="1"/>
  <c r="I39" i="1"/>
  <c r="H39" i="1"/>
  <c r="A39" i="1"/>
  <c r="K38" i="1"/>
  <c r="I38" i="1"/>
  <c r="H38" i="1"/>
  <c r="A38" i="1"/>
  <c r="K37" i="1"/>
  <c r="I37" i="1"/>
  <c r="H37" i="1"/>
  <c r="A37" i="1"/>
  <c r="K36" i="1"/>
  <c r="I36" i="1"/>
  <c r="H36" i="1"/>
  <c r="A36" i="1"/>
  <c r="K35" i="1"/>
  <c r="I35" i="1"/>
  <c r="H35" i="1"/>
  <c r="A35" i="1"/>
  <c r="K34" i="1"/>
  <c r="I34" i="1"/>
  <c r="H34" i="1"/>
  <c r="A34" i="1"/>
  <c r="K33" i="1"/>
  <c r="I33" i="1"/>
  <c r="H33" i="1"/>
  <c r="A33" i="1"/>
  <c r="K32" i="1"/>
  <c r="I32" i="1"/>
  <c r="H32" i="1"/>
  <c r="A32" i="1"/>
  <c r="K31" i="1"/>
  <c r="I31" i="1"/>
  <c r="H31" i="1"/>
  <c r="A31" i="1"/>
  <c r="K30" i="1"/>
  <c r="I30" i="1"/>
  <c r="H30" i="1"/>
  <c r="A30" i="1"/>
  <c r="K29" i="1"/>
  <c r="I29" i="1"/>
  <c r="H29" i="1"/>
  <c r="A29" i="1"/>
  <c r="K28" i="1"/>
  <c r="I28" i="1"/>
  <c r="H28" i="1"/>
  <c r="A28" i="1"/>
  <c r="K27" i="1"/>
  <c r="I27" i="1"/>
  <c r="H27" i="1"/>
  <c r="A27" i="1"/>
  <c r="K26" i="1"/>
  <c r="I26" i="1"/>
  <c r="H26" i="1"/>
  <c r="A26" i="1"/>
  <c r="K25" i="1"/>
  <c r="I25" i="1"/>
  <c r="H25" i="1"/>
  <c r="A25" i="1"/>
  <c r="K24" i="1"/>
  <c r="I24" i="1"/>
  <c r="H24" i="1"/>
  <c r="A24" i="1"/>
  <c r="K23" i="1"/>
  <c r="I23" i="1"/>
  <c r="H23" i="1"/>
  <c r="A23" i="1"/>
  <c r="K22" i="1"/>
  <c r="I22" i="1"/>
  <c r="H22" i="1"/>
  <c r="A22" i="1"/>
  <c r="K21" i="1"/>
  <c r="I21" i="1"/>
  <c r="H21" i="1"/>
  <c r="A21" i="1"/>
  <c r="K20" i="1"/>
  <c r="I20" i="1"/>
  <c r="H20" i="1"/>
  <c r="A20" i="1"/>
  <c r="K19" i="1"/>
  <c r="I19" i="1"/>
  <c r="H19" i="1"/>
  <c r="D6" i="2" s="1"/>
  <c r="A19" i="1"/>
  <c r="K18" i="1"/>
  <c r="I18" i="1"/>
  <c r="H18" i="1"/>
  <c r="A18" i="1"/>
  <c r="K17" i="1"/>
  <c r="I17" i="1"/>
  <c r="H17" i="1"/>
  <c r="A17" i="1"/>
  <c r="K16" i="1"/>
  <c r="I16" i="1"/>
  <c r="H16" i="1"/>
  <c r="A16" i="1"/>
  <c r="K15" i="1"/>
  <c r="I15" i="1"/>
  <c r="H15" i="1"/>
  <c r="A15" i="1"/>
  <c r="K14" i="1"/>
  <c r="I14" i="1"/>
  <c r="H14" i="1"/>
  <c r="A14" i="1"/>
  <c r="K13" i="1"/>
  <c r="I13" i="1"/>
  <c r="H13" i="1"/>
  <c r="A13" i="1"/>
  <c r="K12" i="1"/>
  <c r="I12" i="1"/>
  <c r="H12" i="1"/>
  <c r="A12" i="1"/>
  <c r="K11" i="1"/>
  <c r="I11" i="1"/>
  <c r="H11" i="1"/>
  <c r="A11" i="1"/>
  <c r="K10" i="1"/>
  <c r="I10" i="1"/>
  <c r="H10" i="1"/>
  <c r="A10" i="1"/>
  <c r="K9" i="1"/>
  <c r="I9" i="1"/>
  <c r="H9" i="1"/>
  <c r="A9" i="1"/>
  <c r="K8" i="1"/>
  <c r="I8" i="1"/>
  <c r="H8" i="1"/>
  <c r="A8" i="1"/>
  <c r="K7" i="1"/>
  <c r="I7" i="1"/>
  <c r="H7" i="1"/>
  <c r="A7" i="1"/>
  <c r="K6" i="1"/>
  <c r="I6" i="1"/>
  <c r="H6" i="1"/>
  <c r="A6" i="1"/>
  <c r="K5" i="1"/>
  <c r="I5" i="1"/>
  <c r="H5" i="1"/>
  <c r="A5" i="1"/>
  <c r="K4" i="1"/>
  <c r="I4" i="1"/>
  <c r="A4" i="1"/>
  <c r="D4" i="4" l="1"/>
  <c r="F6" i="4"/>
  <c r="E11" i="4"/>
  <c r="F14" i="4"/>
  <c r="E8" i="4"/>
  <c r="B15" i="4"/>
  <c r="C15" i="4"/>
  <c r="B4" i="19" s="1"/>
  <c r="E4" i="4"/>
  <c r="E12" i="4"/>
  <c r="E9" i="4"/>
  <c r="F15" i="4" l="1"/>
  <c r="E15" i="4"/>
  <c r="A4" i="19"/>
  <c r="E4" i="19" s="1"/>
  <c r="D1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3" authorId="0" shapeId="0" xr:uid="{00000000-0006-0000-0000-000001000000}">
      <text>
        <r>
          <rPr>
            <sz val="10"/>
            <rFont val="Arial"/>
            <family val="2"/>
          </rPr>
          <t>Tip: after opening in Google Sheets, select this column and use Insert &gt; Checkbox for native tap-to-check boxes.</t>
        </r>
      </text>
    </comment>
    <comment ref="K3" authorId="0" shapeId="0" xr:uid="{00000000-0006-0000-0000-000002000000}">
      <text>
        <r>
          <rPr>
            <sz val="10"/>
            <rFont val="Arial"/>
            <family val="2"/>
          </rPr>
          <t>Auto-calculated: counts consecutive days with Completed=TRUE, ending at that row. The Dashboard reads the last value in this column as your current streak.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3" authorId="0" shapeId="0" xr:uid="{00000000-0006-0000-0100-000001000000}">
      <text>
        <r>
          <rPr>
            <sz val="10"/>
            <rFont val="Arial"/>
            <family val="2"/>
          </rPr>
          <t>Auto-calculated with SUMIFS against Daily Planner's Estimated Hours, summing only rows where Completed = TRUE and the date falls inside that week.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3" authorId="0" shapeId="0" xr:uid="{00000000-0006-0000-0300-000001000000}">
      <text>
        <r>
          <rPr>
            <sz val="10"/>
            <rFont val="Arial"/>
            <family val="2"/>
          </rPr>
          <t>Overdue = Revision Date is in the past. A topic only gets a Revision Date once you've set its Date Completed and bumped Revision Stage to at least 1 on the subject sheet.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4" authorId="0" shapeId="0" xr:uid="{00000000-0006-0000-0400-000001000000}">
      <text>
        <r>
          <rPr>
            <sz val="10"/>
            <rFont val="Arial"/>
            <family val="2"/>
          </rPr>
          <t>Status drives the row's color (Green=Completed, Yellow=In Progress, Red=Not Started, Purple=Research, Orange=Project, Gray=Optional).</t>
        </r>
      </text>
    </comment>
    <comment ref="Q4" authorId="0" shapeId="0" xr:uid="{00000000-0006-0000-0400-000002000000}">
      <text>
        <r>
          <rPr>
            <sz val="10"/>
            <rFont val="Arial"/>
            <family val="2"/>
          </rPr>
          <t>Revision Date = Date Completed + interval for the current Revision Stage (1=1d, 2=3d, 3=7d, 4=14d, 5=30d, 6=90d, 7=365d). Set Date Completed + Revision Stage=1 when you finish a topic, then bump the Stage each time you successfully revise it. Red = overdue, yellow = due within 3 days.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4" authorId="0" shapeId="0" xr:uid="{00000000-0006-0000-0500-000001000000}">
      <text>
        <r>
          <rPr>
            <sz val="10"/>
            <rFont val="Arial"/>
            <family val="2"/>
          </rPr>
          <t>Status drives the row's color (Green=Completed, Yellow=In Progress, Red=Not Started, Purple=Research, Orange=Project, Gray=Optional).</t>
        </r>
      </text>
    </comment>
    <comment ref="Q4" authorId="0" shapeId="0" xr:uid="{00000000-0006-0000-0500-000002000000}">
      <text>
        <r>
          <rPr>
            <sz val="10"/>
            <rFont val="Arial"/>
            <family val="2"/>
          </rPr>
          <t>Revision Date = Date Completed + interval for the current Revision Stage (1=1d, 2=3d, 3=7d, 4=14d, 5=30d, 6=90d, 7=365d). Set Date Completed + Revision Stage=1 when you finish a topic, then bump the Stage each time you successfully revise it. Red = overdue, yellow = due within 3 days.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4" authorId="0" shapeId="0" xr:uid="{00000000-0006-0000-0600-000001000000}">
      <text>
        <r>
          <rPr>
            <sz val="10"/>
            <rFont val="Arial"/>
            <family val="2"/>
          </rPr>
          <t>Status drives the row's color (Green=Completed, Yellow=In Progress, Red=Not Started, Purple=Research, Orange=Project, Gray=Optional).</t>
        </r>
      </text>
    </comment>
    <comment ref="Q4" authorId="0" shapeId="0" xr:uid="{00000000-0006-0000-0600-000002000000}">
      <text>
        <r>
          <rPr>
            <sz val="10"/>
            <rFont val="Arial"/>
            <family val="2"/>
          </rPr>
          <t>Revision Date = Date Completed + interval for the current Revision Stage (1=1d, 2=3d, 3=7d, 4=14d, 5=30d, 6=90d, 7=365d). Set Date Completed + Revision Stage=1 when you finish a topic, then bump the Stage each time you successfully revise it. Red = overdue, yellow = due within 3 days.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4" authorId="0" shapeId="0" xr:uid="{00000000-0006-0000-0700-000001000000}">
      <text>
        <r>
          <rPr>
            <sz val="10"/>
            <rFont val="Arial"/>
            <family val="2"/>
          </rPr>
          <t>Status drives the row's color (Green=Completed, Yellow=In Progress, Red=Not Started, Purple=Research, Orange=Project, Gray=Optional).</t>
        </r>
      </text>
    </comment>
    <comment ref="Q4" authorId="0" shapeId="0" xr:uid="{00000000-0006-0000-0700-000002000000}">
      <text>
        <r>
          <rPr>
            <sz val="10"/>
            <rFont val="Arial"/>
            <family val="2"/>
          </rPr>
          <t>Revision Date = Date Completed + interval for the current Revision Stage (1=1d, 2=3d, 3=7d, 4=14d, 5=30d, 6=90d, 7=365d). Set Date Completed + Revision Stage=1 when you finish a topic, then bump the Stage each time you successfully revise it. Red = overdue, yellow = due within 3 days.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4" authorId="0" shapeId="0" xr:uid="{00000000-0006-0000-0800-000001000000}">
      <text>
        <r>
          <rPr>
            <sz val="10"/>
            <rFont val="Arial"/>
            <family val="2"/>
          </rPr>
          <t>Status drives the row's color (Green=Completed, Yellow=In Progress, Red=Not Started, Purple=Research, Orange=Project, Gray=Optional).</t>
        </r>
      </text>
    </comment>
    <comment ref="Q4" authorId="0" shapeId="0" xr:uid="{00000000-0006-0000-0800-000002000000}">
      <text>
        <r>
          <rPr>
            <sz val="10"/>
            <rFont val="Arial"/>
            <family val="2"/>
          </rPr>
          <t>Revision Date = Date Completed + interval for the current Revision Stage (1=1d, 2=3d, 3=7d, 4=14d, 5=30d, 6=90d, 7=365d). Set Date Completed + Revision Stage=1 when you finish a topic, then bump the Stage each time you successfully revise it. Red = overdue, yellow = due within 3 days.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4" authorId="0" shapeId="0" xr:uid="{00000000-0006-0000-0900-000001000000}">
      <text>
        <r>
          <rPr>
            <sz val="10"/>
            <rFont val="Arial"/>
            <family val="2"/>
          </rPr>
          <t>Status drives the row's color (Green=Completed, Yellow=In Progress, Red=Not Started, Purple=Research, Orange=Project, Gray=Optional).</t>
        </r>
      </text>
    </comment>
    <comment ref="Q4" authorId="0" shapeId="0" xr:uid="{00000000-0006-0000-0900-000002000000}">
      <text>
        <r>
          <rPr>
            <sz val="10"/>
            <rFont val="Arial"/>
            <family val="2"/>
          </rPr>
          <t>Revision Date = Date Completed + interval for the current Revision Stage (1=1d, 2=3d, 3=7d, 4=14d, 5=30d, 6=90d, 7=365d). Set Date Completed + Revision Stage=1 when you finish a topic, then bump the Stage each time you successfully revise it. Red = overdue, yellow = due within 3 days.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4" authorId="0" shapeId="0" xr:uid="{00000000-0006-0000-0A00-000001000000}">
      <text>
        <r>
          <rPr>
            <sz val="10"/>
            <rFont val="Arial"/>
            <family val="2"/>
          </rPr>
          <t>Status drives the row's color (Green=Completed, Yellow=In Progress, Red=Not Started, Purple=Research, Orange=Project, Gray=Optional).</t>
        </r>
      </text>
    </comment>
    <comment ref="Q4" authorId="0" shapeId="0" xr:uid="{00000000-0006-0000-0A00-000002000000}">
      <text>
        <r>
          <rPr>
            <sz val="10"/>
            <rFont val="Arial"/>
            <family val="2"/>
          </rPr>
          <t>Revision Date = Date Completed + interval for the current Revision Stage (1=1d, 2=3d, 3=7d, 4=14d, 5=30d, 6=90d, 7=365d). Set Date Completed + Revision Stage=1 when you finish a topic, then bump the Stage each time you successfully revise it. Red = overdue, yellow = due within 3 days.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4" authorId="0" shapeId="0" xr:uid="{00000000-0006-0000-0B00-000001000000}">
      <text>
        <r>
          <rPr>
            <sz val="10"/>
            <rFont val="Arial"/>
            <family val="2"/>
          </rPr>
          <t>Status drives the row's color (Green=Completed, Yellow=In Progress, Red=Not Started, Purple=Research, Orange=Project, Gray=Optional).</t>
        </r>
      </text>
    </comment>
    <comment ref="Q4" authorId="0" shapeId="0" xr:uid="{00000000-0006-0000-0B00-000002000000}">
      <text>
        <r>
          <rPr>
            <sz val="10"/>
            <rFont val="Arial"/>
            <family val="2"/>
          </rPr>
          <t>Revision Date = Date Completed + interval for the current Revision Stage (1=1d, 2=3d, 3=7d, 4=14d, 5=30d, 6=90d, 7=365d). Set Date Completed + Revision Stage=1 when you finish a topic, then bump the Stage each time you successfully revise it. Red = overdue, yellow = due within 3 days.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4" authorId="0" shapeId="0" xr:uid="{00000000-0006-0000-0C00-000001000000}">
      <text>
        <r>
          <rPr>
            <sz val="10"/>
            <rFont val="Arial"/>
            <family val="2"/>
          </rPr>
          <t>Status drives the row's color (Green=Completed, Yellow=In Progress, Red=Not Started, Purple=Research, Orange=Project, Gray=Optional).</t>
        </r>
      </text>
    </comment>
    <comment ref="Q4" authorId="0" shapeId="0" xr:uid="{00000000-0006-0000-0C00-000002000000}">
      <text>
        <r>
          <rPr>
            <sz val="10"/>
            <rFont val="Arial"/>
            <family val="2"/>
          </rPr>
          <t>Revision Date = Date Completed + interval for the current Revision Stage (1=1d, 2=3d, 3=7d, 4=14d, 5=30d, 6=90d, 7=365d). Set Date Completed + Revision Stage=1 when you finish a topic, then bump the Stage each time you successfully revise it. Red = overdue, yellow = due within 3 days.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4" authorId="0" shapeId="0" xr:uid="{00000000-0006-0000-0D00-000001000000}">
      <text>
        <r>
          <rPr>
            <sz val="10"/>
            <rFont val="Arial"/>
            <family val="2"/>
          </rPr>
          <t>Status drives the row's color (Green=Completed, Yellow=In Progress, Red=Not Started, Purple=Research, Orange=Project, Gray=Optional).</t>
        </r>
      </text>
    </comment>
    <comment ref="Q4" authorId="0" shapeId="0" xr:uid="{00000000-0006-0000-0D00-000002000000}">
      <text>
        <r>
          <rPr>
            <sz val="10"/>
            <rFont val="Arial"/>
            <family val="2"/>
          </rPr>
          <t>Revision Date = Date Completed + interval for the current Revision Stage (1=1d, 2=3d, 3=7d, 4=14d, 5=30d, 6=90d, 7=365d). Set Date Completed + Revision Stage=1 when you finish a topic, then bump the Stage each time you successfully revise it. Red = overdue, yellow = due within 3 days.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4" authorId="0" shapeId="0" xr:uid="{00000000-0006-0000-0E00-000001000000}">
      <text>
        <r>
          <rPr>
            <sz val="10"/>
            <rFont val="Arial"/>
            <family val="2"/>
          </rPr>
          <t>Status drives the row's color (Green=Completed, Yellow=In Progress, Red=Not Started, Purple=Research, Orange=Project, Gray=Optional).</t>
        </r>
      </text>
    </comment>
    <comment ref="Q4" authorId="0" shapeId="0" xr:uid="{00000000-0006-0000-0E00-000002000000}">
      <text>
        <r>
          <rPr>
            <sz val="10"/>
            <rFont val="Arial"/>
            <family val="2"/>
          </rPr>
          <t>Revision Date = Date Completed + interval for the current Revision Stage (1=1d, 2=3d, 3=7d, 4=14d, 5=30d, 6=90d, 7=365d). Set Date Completed + Revision Stage=1 when you finish a topic, then bump the Stage each time you successfully revise it. Red = overdue, yellow = due within 3 days.</t>
        </r>
      </text>
    </comment>
  </commentList>
</comments>
</file>

<file path=xl/sharedStrings.xml><?xml version="1.0" encoding="utf-8"?>
<sst xmlns="http://schemas.openxmlformats.org/spreadsheetml/2006/main" count="5151" uniqueCount="3091">
  <si>
    <t>Daily Planner</t>
  </si>
  <si>
    <t>Fill in Subject / Topic / Subtopic / Hours each day. Day, Date and Streak are formula-driven — do not overtype them.</t>
  </si>
  <si>
    <t>Day</t>
  </si>
  <si>
    <t>Date</t>
  </si>
  <si>
    <t>Today's Goal</t>
  </si>
  <si>
    <t>Subject</t>
  </si>
  <si>
    <t>Topic</t>
  </si>
  <si>
    <t>Subtopic</t>
  </si>
  <si>
    <t>Estimated Hours</t>
  </si>
  <si>
    <t>Completed</t>
  </si>
  <si>
    <t>Revision Due</t>
  </si>
  <si>
    <t>Notes</t>
  </si>
  <si>
    <t>Streak (auto)</t>
  </si>
  <si>
    <t>Weekly Review</t>
  </si>
  <si>
    <t>Hours Studied pulls automatically from Daily Planner. Fill in the reflection columns every Sunday.</t>
  </si>
  <si>
    <t>Week #</t>
  </si>
  <si>
    <t>Week Starting</t>
  </si>
  <si>
    <t>Week Ending</t>
  </si>
  <si>
    <t>Hours Studied (auto)</t>
  </si>
  <si>
    <t>Concepts Learned</t>
  </si>
  <si>
    <t>Problems Solved</t>
  </si>
  <si>
    <t>Research Papers</t>
  </si>
  <si>
    <t>Projects</t>
  </si>
  <si>
    <t>Weak Areas</t>
  </si>
  <si>
    <t>Action Items</t>
  </si>
  <si>
    <t>Monthly Review</t>
  </si>
  <si>
    <t>Topics Completed now pulls automatically from every curriculum sheet's Date Completed column. Projects/Research/Interview Progress stay manual since those sheets don't track a completion date per spec.</t>
  </si>
  <si>
    <t>Month</t>
  </si>
  <si>
    <t>Topics Completed (auto)</t>
  </si>
  <si>
    <t>Research</t>
  </si>
  <si>
    <t>Interview Progress</t>
  </si>
  <si>
    <t>Skills Improved</t>
  </si>
  <si>
    <t>Goals Next Month</t>
  </si>
  <si>
    <t>August 2026</t>
  </si>
  <si>
    <t>September 2026</t>
  </si>
  <si>
    <t>October 2026</t>
  </si>
  <si>
    <t>November 2026</t>
  </si>
  <si>
    <t>December 2026</t>
  </si>
  <si>
    <t>Revision Planner</t>
  </si>
  <si>
    <t>Spaced-repetition schedule: 1 -&gt; 3 -&gt; 7 -&gt; 14 -&gt; 30 -&gt; 90 -&gt; 365 days. Each curriculum sheet computes its own Revision Date from Date Completed + Revision Stage; this sheet rolls those up and flags overdue items.</t>
  </si>
  <si>
    <t>Total Topics</t>
  </si>
  <si>
    <t>% Complete</t>
  </si>
  <si>
    <t>Overdue Revisions</t>
  </si>
  <si>
    <t>Due Within 3 Days</t>
  </si>
  <si>
    <t>Python Advanced</t>
  </si>
  <si>
    <t>Data Structures &amp; Algorithms</t>
  </si>
  <si>
    <t>Operating Systems</t>
  </si>
  <si>
    <t>Computer Networking</t>
  </si>
  <si>
    <t>Databases</t>
  </si>
  <si>
    <t>Mathematics</t>
  </si>
  <si>
    <t>Machine Learning</t>
  </si>
  <si>
    <t>Deep Learning</t>
  </si>
  <si>
    <t>LLM Engineering</t>
  </si>
  <si>
    <t>CUDA &amp; GPU Programming</t>
  </si>
  <si>
    <t>Distributed Systems</t>
  </si>
  <si>
    <t>TOTAL</t>
  </si>
  <si>
    <t>Intermediate-&gt;expert CPython internals, concurrency, and native performance. No beginner syntax topics.</t>
  </si>
  <si>
    <t>Sheet Progress  —  26 topics total</t>
  </si>
  <si>
    <t>Status</t>
  </si>
  <si>
    <t>Difficulty</t>
  </si>
  <si>
    <t>Prerequisites</t>
  </si>
  <si>
    <t>Learning Goal</t>
  </si>
  <si>
    <t>Est. Hours</t>
  </si>
  <si>
    <t>Best YouTube Resource</t>
  </si>
  <si>
    <t>Best Reading</t>
  </si>
  <si>
    <t>Official Documentation</t>
  </si>
  <si>
    <t>Coding Exercise</t>
  </si>
  <si>
    <t>Mini Project</t>
  </si>
  <si>
    <t>Interview Questions</t>
  </si>
  <si>
    <t>Date Completed</t>
  </si>
  <si>
    <t>Revision Stage</t>
  </si>
  <si>
    <t>Revision Date</t>
  </si>
  <si>
    <t>CPython Internals &amp; Memory Model</t>
  </si>
  <si>
    <t>Not Started</t>
  </si>
  <si>
    <t>CPython Internals</t>
  </si>
  <si>
    <t>PyObject struct &amp; object layout</t>
  </si>
  <si>
    <t>Advanced</t>
  </si>
  <si>
    <t>C basics, Python fluency</t>
  </si>
  <si>
    <t>Understand how every Python object is represented in memory via PyObject/PyVarObject.</t>
  </si>
  <si>
    <t>CPython Internals - James Powell (PyData)</t>
  </si>
  <si>
    <t>'CPython Internals' book by Anthony Shaw (Ch.1-3)</t>
  </si>
  <si>
    <t>docs.python.org/3/c-api/structures.html</t>
  </si>
  <si>
    <t>Write a C extension that inspects an object's ob_refcnt and ob_type</t>
  </si>
  <si>
    <t>Build a memory-layout visualizer using ctypes</t>
  </si>
  <si>
    <t>What is the difference between PyObject and PyVarObject? | Why does every Python object carry a refcount?</t>
  </si>
  <si>
    <t>Foundation for everything else in this section.</t>
  </si>
  <si>
    <t>Python Memory Model</t>
  </si>
  <si>
    <t>Private heap &amp; pymalloc arenas</t>
  </si>
  <si>
    <t>CPython Internals basics</t>
  </si>
  <si>
    <t>Understand pymalloc's arena/pool/block allocator design for small objects.</t>
  </si>
  <si>
    <t>Real Python - Memory Management in Python</t>
  </si>
  <si>
    <t>docs.python.org/3/c-api/memory.html</t>
  </si>
  <si>
    <t>Use tracemalloc to profile allocations of a small script</t>
  </si>
  <si>
    <t>Build a script that visualizes allocation size distributions</t>
  </si>
  <si>
    <t>Why does CPython use its own allocator instead of malloc directly? | What is a pymalloc arena?</t>
  </si>
  <si>
    <t>tracemalloc is the practical entry point.</t>
  </si>
  <si>
    <t>Reference Counting</t>
  </si>
  <si>
    <t>Refcounting mechanics &amp; INCREF/DECREF</t>
  </si>
  <si>
    <t>Trace how Py_INCREF/Py_DECREF drive object lifetime.</t>
  </si>
  <si>
    <t>CPython Internals - Refcounting explained (Anthony Shaw talk)</t>
  </si>
  <si>
    <t>'CPython Internals' book Ch.4</t>
  </si>
  <si>
    <t>docs.python.org/3/c-api/refcounting.html</t>
  </si>
  <si>
    <t>Use sys.getrefcount to trace an object across scopes</t>
  </si>
  <si>
    <t>N/A</t>
  </si>
  <si>
    <t>Why can sys.getrefcount overcount by one? | What happens on refcount reaching zero?</t>
  </si>
  <si>
    <t>Classic gotcha: getrefcount's own argument passing adds a reference.</t>
  </si>
  <si>
    <t>Garbage Collection</t>
  </si>
  <si>
    <t>Generational GC &amp; cycle detection</t>
  </si>
  <si>
    <t>Understand the 3-generation cyclic GC that supplements refcounting.</t>
  </si>
  <si>
    <t>Real Python - Garbage Collection in Python</t>
  </si>
  <si>
    <t>docs.python.org/3/library/gc.html</t>
  </si>
  <si>
    <t>Create and detect a reference cycle with gc.get_objects()</t>
  </si>
  <si>
    <t>Build a tool that flags reference cycles in a codebase</t>
  </si>
  <si>
    <t>Why is cyclic GC needed if refcounting exists? | What are generations 0/1/2 for?</t>
  </si>
  <si>
    <t>__del__ and cycles historically interacted badly pre-3.4.</t>
  </si>
  <si>
    <t>Descriptors</t>
  </si>
  <si>
    <t>Data vs non-data descriptors, __get__/__set__</t>
  </si>
  <si>
    <t>OOP fundamentals</t>
  </si>
  <si>
    <t>Master the descriptor protocol that underlies properties, methods, and slots.</t>
  </si>
  <si>
    <t>Real Python - Descriptors</t>
  </si>
  <si>
    <t>docs.python.org/3/howto/descriptor.html</t>
  </si>
  <si>
    <t>docs.python.org/3/reference/datamodel.html#descriptors</t>
  </si>
  <si>
    <t>Implement a validated-attribute descriptor from scratch</t>
  </si>
  <si>
    <t>Build a typed-field ORM-style mini library using descriptors</t>
  </si>
  <si>
    <t>What's the precedence order between instance __dict__ and a data descriptor? | How does @property use descriptors?</t>
  </si>
  <si>
    <t>Understanding this unlocks how Django/SQLAlchemy fields work.</t>
  </si>
  <si>
    <t>Decorators Internals</t>
  </si>
  <si>
    <t>Closures, functools.wraps, decorator factories</t>
  </si>
  <si>
    <t>Go beyond syntax to understand closures and metadata preservation in decorators.</t>
  </si>
  <si>
    <t>mCoding - Python Decorators</t>
  </si>
  <si>
    <t>Real Python - Primer on Python Decorators</t>
  </si>
  <si>
    <t>docs.python.org/3/library/functools.html#functools.wraps</t>
  </si>
  <si>
    <t>Write a parametrized retry decorator with backoff</t>
  </si>
  <si>
    <t>Build a timing/profiling decorator library</t>
  </si>
  <si>
    <t>Why does functools.wraps matter? | How do class-based decorators differ from function-based?</t>
  </si>
  <si>
    <t>Watch for late-binding closures in loops.</t>
  </si>
  <si>
    <t>Metaclasses</t>
  </si>
  <si>
    <t>type(), __new__ vs __init__, metaclass conflicts</t>
  </si>
  <si>
    <t>Expert</t>
  </si>
  <si>
    <t>Descriptors, OOP</t>
  </si>
  <si>
    <t>Understand how classes themselves are instances of metaclasses.</t>
  </si>
  <si>
    <t>mCoding - Metaclasses Explained</t>
  </si>
  <si>
    <t>Real Python - Python Metaclasses</t>
  </si>
  <si>
    <t>docs.python.org/3/reference/datamodel.html#metaclasses</t>
  </si>
  <si>
    <t>Build a metaclass that auto-registers subclasses</t>
  </si>
  <si>
    <t>Implement a simple ORM base using a metaclass</t>
  </si>
  <si>
    <t>When would you use __init_subclass__ instead of a metaclass? | What problem do ABCMeta and metaclasses solve?</t>
  </si>
  <si>
    <t>Prefer __init_subclass__ / __set_name__ when possible; metaclasses are a last resort.</t>
  </si>
  <si>
    <t>Slots</t>
  </si>
  <si>
    <t>__slots__ memory savings &amp; limitations</t>
  </si>
  <si>
    <t>Understand how __slots__ removes per-instance __dict__ to save memory.</t>
  </si>
  <si>
    <t>mCoding - __slots__ Explained</t>
  </si>
  <si>
    <t>Real Python - Python __slots__</t>
  </si>
  <si>
    <t>docs.python.org/3/reference/datamodel.html#slots</t>
  </si>
  <si>
    <t>Benchmark memory usage of a class with vs without __slots__</t>
  </si>
  <si>
    <t>Why can't you use __slots__ with multiple inheritance easily? | What breaks when you add __slots__?</t>
  </si>
  <si>
    <t>Big win for millions of small objects (e.g. graph nodes).</t>
  </si>
  <si>
    <t>Concurrency &amp; Parallelism</t>
  </si>
  <si>
    <t>GIL</t>
  </si>
  <si>
    <t>Global Interpreter Lock mechanics &amp; 3.13 free-threading</t>
  </si>
  <si>
    <t>Understand why the GIL exists and what the no-GIL (PEP 703) build changes.</t>
  </si>
  <si>
    <t>David Beazley - Understanding the GIL</t>
  </si>
  <si>
    <t>Real Python - What is the GIL</t>
  </si>
  <si>
    <t>docs.python.org/3/glossary.html#term-global-interpreter-lock</t>
  </si>
  <si>
    <t>Benchmark CPU-bound threading vs multiprocessing</t>
  </si>
  <si>
    <t>Why doesn't the GIL block I/O-bound concurrency? | What does PEP 703 change?</t>
  </si>
  <si>
    <t>Directly relevant to inference-server throughput design.</t>
  </si>
  <si>
    <t>Multiprocessing Internals</t>
  </si>
  <si>
    <t>Process pools, pickling, shared memory</t>
  </si>
  <si>
    <t>Understand fork/spawn start methods and IPC costs in multiprocessing.</t>
  </si>
  <si>
    <t>Real Python - Multiprocessing in Python</t>
  </si>
  <si>
    <t>docs.python.org/3/library/multiprocessing.html</t>
  </si>
  <si>
    <t>docs.python.org/3/library/multiprocessing.shared_memory.html</t>
  </si>
  <si>
    <t>Build a producer-consumer pipeline using multiprocessing.Queue</t>
  </si>
  <si>
    <t>Parallelize a CPU-bound data preprocessing pipeline</t>
  </si>
  <si>
    <t>Why is spawn safer than fork on macOS/Windows? | When would you use shared_memory over a Queue?</t>
  </si>
  <si>
    <t>Pickling overhead is the usual bottleneck for large tensors.</t>
  </si>
  <si>
    <t>Threading</t>
  </si>
  <si>
    <t>Thread pools, locks, condition variables</t>
  </si>
  <si>
    <t>Master thread synchronization primitives beyond basic locks.</t>
  </si>
  <si>
    <t>Corey Schafer - Threading Tutorial</t>
  </si>
  <si>
    <t>Real Python - Intro to Threading</t>
  </si>
  <si>
    <t>docs.python.org/3/library/threading.html</t>
  </si>
  <si>
    <t>Implement a bounded worker pool with a Condition variable</t>
  </si>
  <si>
    <t>When is a RLock needed instead of a Lock? | What's a thundering herd and how do Conditions avoid it?</t>
  </si>
  <si>
    <t>Best for I/O-bound work given the GIL.</t>
  </si>
  <si>
    <t>Asyncio Internals</t>
  </si>
  <si>
    <t>Event loop, tasks, futures</t>
  </si>
  <si>
    <t>Understand how the asyncio event loop schedules coroutines via a select/epoll loop.</t>
  </si>
  <si>
    <t>David Beazley - Build Your Own Async</t>
  </si>
  <si>
    <t>Real Python - Async IO in Python</t>
  </si>
  <si>
    <t>docs.python.org/3/library/asyncio-eventloop.html</t>
  </si>
  <si>
    <t>Implement a minimal event loop from scratch with generators</t>
  </si>
  <si>
    <t>Build an async rate-limited API client</t>
  </si>
  <si>
    <t>What's the difference between a Task and a Future? | How does await suspend/resume a coroutine?</t>
  </si>
  <si>
    <t>Core to understanding FastAPI's request handling model.</t>
  </si>
  <si>
    <t>Selectors</t>
  </si>
  <si>
    <t>selectors module &amp; epoll/kqueue abstraction</t>
  </si>
  <si>
    <t>Understand the OS-level readiness notification asyncio is built on.</t>
  </si>
  <si>
    <t>Real Python - Selectors module walkthrough</t>
  </si>
  <si>
    <t>docs.python.org/3/library/selectors.html</t>
  </si>
  <si>
    <t>Build a simple echo server using selectors directly (no asyncio)</t>
  </si>
  <si>
    <t>Why is epoll preferred over select() at scale? | What is level-triggered vs edge-triggered readiness?</t>
  </si>
  <si>
    <t>This is the layer directly beneath asyncio's event loop.</t>
  </si>
  <si>
    <t>Concurrency Models</t>
  </si>
  <si>
    <t>Choosing threads vs processes vs asyncio</t>
  </si>
  <si>
    <t>GIL, Asyncio Internals</t>
  </si>
  <si>
    <t>Build intuition for choosing the right concurrency model for a workload.</t>
  </si>
  <si>
    <t>Anthony Explains - Concurrency in Python</t>
  </si>
  <si>
    <t>Real Python - Speed Up Python with Concurrency</t>
  </si>
  <si>
    <t>docs.python.org/3/library/concurrency.html</t>
  </si>
  <si>
    <t>Benchmark the same workload under threading/multiprocessing/asyncio</t>
  </si>
  <si>
    <t>How do you choose between threads, processes, and asyncio for an ML inference server?</t>
  </si>
  <si>
    <t>Common system-design interview follow-up.</t>
  </si>
  <si>
    <t>Language Internals &amp; Bytecode</t>
  </si>
  <si>
    <t>Bytecode</t>
  </si>
  <si>
    <t>dis module, stack-based VM execution</t>
  </si>
  <si>
    <t>Read and interpret CPython bytecode to understand execution cost.</t>
  </si>
  <si>
    <t>mCoding - Reading Python Bytecode</t>
  </si>
  <si>
    <t>Real Python - Bytecode intro</t>
  </si>
  <si>
    <t>docs.python.org/3/library/dis.html</t>
  </si>
  <si>
    <t>Use dis.dis to compare bytecode for a for-loop vs a list comprehension</t>
  </si>
  <si>
    <t>Why are list comprehensions often faster than equivalent for-loops? | What is a stack-based VM?</t>
  </si>
  <si>
    <t>Useful for micro-optimization interview questions.</t>
  </si>
  <si>
    <t>Python Compiler</t>
  </si>
  <si>
    <t>AST, compile phases, peephole optimizer</t>
  </si>
  <si>
    <t>Trace source code from AST to bytecode through the compiler pipeline.</t>
  </si>
  <si>
    <t>CPython compiler pipeline talk - James Powell</t>
  </si>
  <si>
    <t>'CPython Internals' Ch.8-9</t>
  </si>
  <si>
    <t>docs.python.org/3/library/ast.html</t>
  </si>
  <si>
    <t>Write an AST transformer that rewrites a simple expression</t>
  </si>
  <si>
    <t>What are the compilation stages from source to bytecode? | What does the peephole optimizer do?</t>
  </si>
  <si>
    <t>Powers tools like Bandit, and custom linters.</t>
  </si>
  <si>
    <t>Context Managers</t>
  </si>
  <si>
    <t>__enter__/__exit__, contextlib, ExitStack</t>
  </si>
  <si>
    <t>Master resource-management patterns beyond basic 'with' usage.</t>
  </si>
  <si>
    <t>mCoding - Context Managers</t>
  </si>
  <si>
    <t>Real Python - Context Managers and Python's with Statement</t>
  </si>
  <si>
    <t>docs.python.org/3/library/contextlib.html</t>
  </si>
  <si>
    <t>Build a nested-resource manager using contextlib.ExitStack</t>
  </si>
  <si>
    <t>Build a DB transaction context manager with rollback on exception</t>
  </si>
  <si>
    <t>How does __exit__'s return value suppress exceptions? | What problem does ExitStack solve?</t>
  </si>
  <si>
    <t>ExitStack is underused and great for dynamic resource counts.</t>
  </si>
  <si>
    <t>Type Hints</t>
  </si>
  <si>
    <t>Structural typing, Protocol, overload</t>
  </si>
  <si>
    <t>Python fluency</t>
  </si>
  <si>
    <t>Use the typing module for structural (duck) typing contracts.</t>
  </si>
  <si>
    <t>mCoding - Python Type Hints</t>
  </si>
  <si>
    <t>Real Python - Type Checking in Python</t>
  </si>
  <si>
    <t>docs.python.org/3/library/typing.html</t>
  </si>
  <si>
    <t>Define a Protocol for a 'Trainable' interface and type-check with mypy</t>
  </si>
  <si>
    <t>What's the difference between nominal and structural typing? | When would you use @overload?</t>
  </si>
  <si>
    <t>Protocols are close to Go/TS-style interfaces.</t>
  </si>
  <si>
    <t>Generics</t>
  </si>
  <si>
    <t>TypeVar, Generic classes, PEP 695 syntax</t>
  </si>
  <si>
    <t>Write reusable generic classes and functions with proper variance.</t>
  </si>
  <si>
    <t>mCoding - Generics in Python</t>
  </si>
  <si>
    <t>Real Python - Generics</t>
  </si>
  <si>
    <t>docs.python.org/3/library/typing.html#generics</t>
  </si>
  <si>
    <t>Implement a generic Repository[T] class with mypy strict mode</t>
  </si>
  <si>
    <t>What is covariance vs contravariance in generics? | How does PEP 695 simplify generic syntax (3.12+)?</t>
  </si>
  <si>
    <t>PEP 695 (3.12) meaningfully cleans up old TypeVar boilerplate.</t>
  </si>
  <si>
    <t>Profiling</t>
  </si>
  <si>
    <t>cProfile, py-spy, line_profiler</t>
  </si>
  <si>
    <t>Profile CPU-bound Python code and read flamegraphs.</t>
  </si>
  <si>
    <t>Real Python - Profiling Python Code</t>
  </si>
  <si>
    <t>'High Performance Python' Ch.2 (Gorelick &amp; Ozsvath)</t>
  </si>
  <si>
    <t>docs.python.org/3/library/profile.html</t>
  </si>
  <si>
    <t>Profile a slow data-pipeline script and produce a flamegraph with py-spy</t>
  </si>
  <si>
    <t>Optimize a real script from 10x profiling findings</t>
  </si>
  <si>
    <t>What's the overhead difference between cProfile and py-spy? | When would you reach for line_profiler?</t>
  </si>
  <si>
    <t>py-spy can attach to a running production process with no code changes.</t>
  </si>
  <si>
    <t>Optimization</t>
  </si>
  <si>
    <t>Algorithmic vs micro-optimization, caching</t>
  </si>
  <si>
    <t>Prioritize optimization effort using profiling data, not intuition.</t>
  </si>
  <si>
    <t>Real Python - Python Performance Optimization</t>
  </si>
  <si>
    <t>'High Performance Python' Ch.1</t>
  </si>
  <si>
    <t>docs.python.org/3/library/functools.html#functools.lru_cache</t>
  </si>
  <si>
    <t>Apply lru_cache and measure the speedup on a recursive function</t>
  </si>
  <si>
    <t>Why should you always profile before optimizing? | What's the tradeoff of lru_cache's memory use?</t>
  </si>
  <si>
    <t>Premature optimization is still the classic interview trap.</t>
  </si>
  <si>
    <t>C Extensions &amp; Native Performance</t>
  </si>
  <si>
    <t>C Extensions</t>
  </si>
  <si>
    <t>Writing a CPython C extension module</t>
  </si>
  <si>
    <t>CPython Internals, C</t>
  </si>
  <si>
    <t>Write a native extension exposing a C function to Python.</t>
  </si>
  <si>
    <t>Real Python - Building a C Extension</t>
  </si>
  <si>
    <t>'CPython Internals' Ch.15</t>
  </si>
  <si>
    <t>docs.python.org/3/extending/extending.html</t>
  </si>
  <si>
    <t>Write and build a C extension that speeds up a hot loop</t>
  </si>
  <si>
    <t>Port a slow pure-Python function to a C extension and benchmark</t>
  </si>
  <si>
    <t>What's the GIL's role when calling into a C extension? | How do you release the GIL in C code (Py_BEGIN_ALLOW_THREADS)?</t>
  </si>
  <si>
    <t>Releasing the GIL in C extensions is key for true parallelism.</t>
  </si>
  <si>
    <t>Cython</t>
  </si>
  <si>
    <t>Typed Cython, cdef, memoryviews</t>
  </si>
  <si>
    <t>C Extensions basics</t>
  </si>
  <si>
    <t>Use Cython to compile typed Python-like code to C for speed.</t>
  </si>
  <si>
    <t>Cython official tutorial (conference talks)</t>
  </si>
  <si>
    <t>'Cython: A Guide for Python Programmers' (Smith)</t>
  </si>
  <si>
    <t>cython.readthedocs.io</t>
  </si>
  <si>
    <t>Cythonize a numeric hot loop and benchmark against pure Python/NumPy</t>
  </si>
  <si>
    <t>Speed up a data-preprocessing step with typed Cython</t>
  </si>
  <si>
    <t>What does 'cdef' buy you over a plain Python function? | How do memoryviews avoid copy overhead?</t>
  </si>
  <si>
    <t>Cython is the pragmatic middle ground before dropping to raw C.</t>
  </si>
  <si>
    <t>PyBind11</t>
  </si>
  <si>
    <t>Exposing C++ to Python, type casting</t>
  </si>
  <si>
    <t>C++ basics, C Extensions</t>
  </si>
  <si>
    <t>Bind C++ classes/functions into Python using pybind11.</t>
  </si>
  <si>
    <t>pybind11 official walkthrough (conference talks)</t>
  </si>
  <si>
    <t>pybind11 documentation - First Steps</t>
  </si>
  <si>
    <t>pybind11.readthedocs.io</t>
  </si>
  <si>
    <t>Bind a small C++ class (e.g. a KV cache) to Python with pybind11</t>
  </si>
  <si>
    <t>Wrap a C++ inference kernel and call it from Python</t>
  </si>
  <si>
    <t>How does pybind11 handle Python/C++ object lifetime? | Why is pybind11 preferred over raw CPython C-API for C++?</t>
  </si>
  <si>
    <t>This is exactly how PyTorch exposes its C++ core to Python.</t>
  </si>
  <si>
    <t>NumPy Internals</t>
  </si>
  <si>
    <t>ndarray memory layout, strides, broadcasting</t>
  </si>
  <si>
    <t>Understand strided memory layout and how broadcasting avoids copies.</t>
  </si>
  <si>
    <t>Enthought - NumPy Internals</t>
  </si>
  <si>
    <t>'From Python to NumPy' (Rougier, free online book)</t>
  </si>
  <si>
    <t>numpy.org/doc/stable/reference/internals.html</t>
  </si>
  <si>
    <t>Write a broadcasting rule checker from scratch and compare to NumPy's</t>
  </si>
  <si>
    <t>What are strides and why do they make transpose free? | How does broadcasting decide compatible shapes?</t>
  </si>
  <si>
    <t>Foundational for reasoning about tensor ops performance.</t>
  </si>
  <si>
    <t>PyTorch Internals</t>
  </si>
  <si>
    <t>Tensor storage, autograd graph, dispatcher</t>
  </si>
  <si>
    <t>Understand how PyTorch tensors, storage, and autograd tape fit together.</t>
  </si>
  <si>
    <t>Edward Yang - PyTorch Internals talk</t>
  </si>
  <si>
    <t>'PyTorch Internals' blog series - Edward Yang</t>
  </si>
  <si>
    <t>pytorch.org/docs/stable/notes/extending.html</t>
  </si>
  <si>
    <t>Trace a tensor operation through the dispatcher using torch's debug logging</t>
  </si>
  <si>
    <t>Implement a custom autograd.Function with backward pass</t>
  </si>
  <si>
    <t>What is the difference between a Tensor and its Storage? | How does the dispatcher route an op to a CPU/CUDA kernel?</t>
  </si>
  <si>
    <t>Directly relevant to writing custom CUDA-backed PyTorch ops.</t>
  </si>
  <si>
    <t>Advanced patterns and structures for coding interviews and systems-adjacent problem solving.</t>
  </si>
  <si>
    <t>Sheet Progress  —  29 topics total</t>
  </si>
  <si>
    <t>Arrays, Bit Manipulation &amp; Searching</t>
  </si>
  <si>
    <t>Advanced Arrays</t>
  </si>
  <si>
    <t>In-place rotation, Dutch National Flag, cyclic sort</t>
  </si>
  <si>
    <t>Arrays basics</t>
  </si>
  <si>
    <t>Master in-place array manipulation patterns that avoid O(n) extra space.</t>
  </si>
  <si>
    <t>NeetCode - Array patterns playlist</t>
  </si>
  <si>
    <t>'Elements of Programming Interviews' Ch.5</t>
  </si>
  <si>
    <t>N/A (pattern-based, no single doc)</t>
  </si>
  <si>
    <t>LeetCode 75 - Sort Colors (Dutch flag)</t>
  </si>
  <si>
    <t>How does cyclic sort find missing numbers in O(1) space? | Why does the Dutch flag algorithm need 3 pointers?</t>
  </si>
  <si>
    <t>Pattern: LeetCode 41, 442, 448 all reuse cyclic sort.</t>
  </si>
  <si>
    <t>Bit Manipulation</t>
  </si>
  <si>
    <t>XOR tricks, bitmasking, popcount</t>
  </si>
  <si>
    <t>Binary basics</t>
  </si>
  <si>
    <t>Use bitwise operators for O(1) space state tracking and fast arithmetic.</t>
  </si>
  <si>
    <t>NeetCode - Bit Manipulation playlist</t>
  </si>
  <si>
    <t>'Hacker's Delight' Ch.2 (Warren)</t>
  </si>
  <si>
    <t>docs.python.org/3/library/stdtypes.html#bitwise-operations-on-integer-types</t>
  </si>
  <si>
    <t>LeetCode 136 - Single Number, LeetCode 78 - Subsets via bitmask</t>
  </si>
  <si>
    <t>Build a bitmask-based DP solver for a small TSP instance</t>
  </si>
  <si>
    <t>Why does XOR-ing all elements find the unique one? | How do you enumerate all subsets using bitmasks?</t>
  </si>
  <si>
    <t>Bitmask DP shows up constantly in 'assign N items to K groups' problems.</t>
  </si>
  <si>
    <t>Binary Search</t>
  </si>
  <si>
    <t>Search space reduction, binary search on answer</t>
  </si>
  <si>
    <t>Sorted arrays</t>
  </si>
  <si>
    <t>Recognize when a problem's answer space (not just an array) is monotonic and binary-searchable.</t>
  </si>
  <si>
    <t>NeetCode - Binary Search playlist</t>
  </si>
  <si>
    <t>'Elements of Programming Interviews' Ch.7</t>
  </si>
  <si>
    <t>LeetCode 875 - Koko Eating Bananas (binary search on answer)</t>
  </si>
  <si>
    <t>How do you binary search on a monotonic answer function instead of an array? | What causes infinite loops in binary search implementations?</t>
  </si>
  <si>
    <t>'Binary search the answer' is one of the highest-leverage patterns for mediums/hards.</t>
  </si>
  <si>
    <t>Prefix Sum</t>
  </si>
  <si>
    <t>1D/2D prefix sums, difference arrays</t>
  </si>
  <si>
    <t>Arrays</t>
  </si>
  <si>
    <t>Precompute range sums in O(1) query time after O(n) preprocessing.</t>
  </si>
  <si>
    <t>NeetCode - Prefix Sum explained</t>
  </si>
  <si>
    <t>'Competitive Programmer's Handbook' Ch.9 (Laaksonen, free PDF)</t>
  </si>
  <si>
    <t>LeetCode 560 - Subarray Sum Equals K</t>
  </si>
  <si>
    <t>Build a range-update range-query tool with a difference array</t>
  </si>
  <si>
    <t>How does a difference array support O(1) range updates? | Why combine prefix sum with a hashmap for subarray-sum problems?</t>
  </si>
  <si>
    <t>Difference arrays are the DP-adjacent trick interviewers love to probe.</t>
  </si>
  <si>
    <t>Sliding Window</t>
  </si>
  <si>
    <t>Fixed &amp; variable window, two pointers</t>
  </si>
  <si>
    <t>Reduce O(n^2) brute force scans to O(n) using a shrinking/growing window.</t>
  </si>
  <si>
    <t>NeetCode - Sliding Window playlist</t>
  </si>
  <si>
    <t>LeetCode 3 - Longest Substring Without Repeating Characters</t>
  </si>
  <si>
    <t>How do you decide window growth vs shrink conditions? | When is a fixed-size window preferable to variable?</t>
  </si>
  <si>
    <t>One of the top-3 highest-frequency FAANG/AI-lab patterns.</t>
  </si>
  <si>
    <t>Monotonic Stack</t>
  </si>
  <si>
    <t>Next greater/smaller element patterns</t>
  </si>
  <si>
    <t>Stacks</t>
  </si>
  <si>
    <t>Use a monotonic stack to answer 'next greater element' style queries in O(n).</t>
  </si>
  <si>
    <t>NeetCode - Monotonic Stack playlist</t>
  </si>
  <si>
    <t>'Elements of Programming Interviews' Ch.8</t>
  </si>
  <si>
    <t>LeetCode 739 - Daily Temperatures</t>
  </si>
  <si>
    <t>Why is each element pushed/popped at most once (amortized O(n))? | How does a monotonic stack solve histogram-area problems?</t>
  </si>
  <si>
    <t>LeetCode 84 (Largest Rectangle in Histogram) is the canonical hard version.</t>
  </si>
  <si>
    <t>Monotonic Queue</t>
  </si>
  <si>
    <t>Sliding window maximum via deque</t>
  </si>
  <si>
    <t>Monotonic Stack, Sliding Window</t>
  </si>
  <si>
    <t>Maintain a running window max/min in O(1) amortized using a deque.</t>
  </si>
  <si>
    <t>NeetCode - Sliding Window Maximum walkthrough</t>
  </si>
  <si>
    <t>'Competitive Programmer's Handbook' Ch.9</t>
  </si>
  <si>
    <t>LeetCode 239 - Sliding Window Maximum</t>
  </si>
  <si>
    <t>Why does a deque beat a heap for sliding-window max? | What invariant does the deque maintain?</t>
  </si>
  <si>
    <t>Common follow-up to the sliding window pattern above.</t>
  </si>
  <si>
    <t>Trees, Tries &amp; Advanced Structures</t>
  </si>
  <si>
    <t>Trie</t>
  </si>
  <si>
    <t>Prefix tree construction &amp; search</t>
  </si>
  <si>
    <t>Trees</t>
  </si>
  <si>
    <t>Build a trie for fast prefix search, autocomplete, and word-break problems.</t>
  </si>
  <si>
    <t>NeetCode - Implement Trie</t>
  </si>
  <si>
    <t>'Competitive Programmer's Handbook' Ch.10</t>
  </si>
  <si>
    <t>LeetCode 208 - Implement Trie (Prefix Tree)</t>
  </si>
  <si>
    <t>Build an autocomplete engine backed by a trie</t>
  </si>
  <si>
    <t>What's the time complexity of trie insert/search vs a hashset? | How do you compress a trie (radix tree)?</t>
  </si>
  <si>
    <t>Directly relevant to tokenizer vocabulary lookups.</t>
  </si>
  <si>
    <t>Fenwick Tree</t>
  </si>
  <si>
    <t>Binary Indexed Tree for range sum/update</t>
  </si>
  <si>
    <t>Prefix Sum, Bit Manipulation</t>
  </si>
  <si>
    <t>Support O(log n) point-update and prefix-sum queries.</t>
  </si>
  <si>
    <t>Errichto - Fenwick Tree tutorial</t>
  </si>
  <si>
    <t>'Competitive Programmer's Handbook' Ch.9.2</t>
  </si>
  <si>
    <t>LeetCode 307 - Range Sum Query - Mutable</t>
  </si>
  <si>
    <t>Build a live-updating leaderboard using a Fenwick tree</t>
  </si>
  <si>
    <t>How does the lowbit trick (i &amp; -i) navigate the tree? | When is a Fenwick tree preferable to a segment tree?</t>
  </si>
  <si>
    <t>Fenwick trees are the 'fast enough, much simpler' alternative to segment trees.</t>
  </si>
  <si>
    <t>Segment Tree</t>
  </si>
  <si>
    <t>Range queries with lazy propagation</t>
  </si>
  <si>
    <t>Build a segment tree supporting range updates and range queries in O(log n).</t>
  </si>
  <si>
    <t>Errichto - Segment Tree tutorial</t>
  </si>
  <si>
    <t>'Competitive Programmer's Handbook' Ch.9.3</t>
  </si>
  <si>
    <t>LeetCode 218 - The Skyline Problem (segment tree variant)</t>
  </si>
  <si>
    <t>Build a range-min-query engine with lazy propagation</t>
  </si>
  <si>
    <t>How does lazy propagation defer updates efficiently? | What's the space complexity of a segment tree?</t>
  </si>
  <si>
    <t>Segment trees are the go-to when a Fenwick tree can't express the query (e.g. range min).</t>
  </si>
  <si>
    <t>Suffix Array</t>
  </si>
  <si>
    <t>Suffix sorting &amp; LCP array</t>
  </si>
  <si>
    <t>Strings, Sorting</t>
  </si>
  <si>
    <t>Build a suffix array for fast substring queries on large texts.</t>
  </si>
  <si>
    <t>William Fiset - Suffix Array tutorial</t>
  </si>
  <si>
    <t>'Algorithms on Strings' (Crochemore) selected chapters</t>
  </si>
  <si>
    <t>LeetCode 1044 - Longest Duplicate Substring</t>
  </si>
  <si>
    <t>How does the LCP array speed up substring comparisons? | What is the SA-IS construction algorithm's complexity?</t>
  </si>
  <si>
    <t>Rare in interviews but common in bioinformatics/search-index systems.</t>
  </si>
  <si>
    <t>Suffix Automaton</t>
  </si>
  <si>
    <t>Minimal DFA for all substrings</t>
  </si>
  <si>
    <t>Suffix Array, Automata basics</t>
  </si>
  <si>
    <t>Understand the suffix automaton as a compact structure for substring existence/counting.</t>
  </si>
  <si>
    <t>William Fiset - Suffix Automaton overview</t>
  </si>
  <si>
    <t>cp-algorithms.com/string/suffix-automaton.html</t>
  </si>
  <si>
    <t>Count distinct substrings of a string using a suffix automaton</t>
  </si>
  <si>
    <t>Why does a suffix automaton have at most 2n-1 states? | How does it differ from a suffix tree?</t>
  </si>
  <si>
    <t>Advanced/competitive-programming territory; good for research-engineer breadth.</t>
  </si>
  <si>
    <t>Union Find</t>
  </si>
  <si>
    <t>Path compression &amp; union by rank</t>
  </si>
  <si>
    <t>Implement disjoint set union with near-O(1) amortized operations.</t>
  </si>
  <si>
    <t>NeetCode - Union Find explained</t>
  </si>
  <si>
    <t>'Elements of Programming Interviews' Ch.9</t>
  </si>
  <si>
    <t>LeetCode 200 - Number of Islands (Union-Find variant)</t>
  </si>
  <si>
    <t>Build a dynamic connectivity checker for a graph stream</t>
  </si>
  <si>
    <t>Why does union-by-rank + path compression give near-O(1) amortized time (inverse Ackermann)? | When is Union-Find preferable to BFS/DFS for connectivity?</t>
  </si>
  <si>
    <t>Kruskal's MST algorithm is built directly on Union-Find.</t>
  </si>
  <si>
    <t>Graph Theory &amp; Shortest Paths</t>
  </si>
  <si>
    <t>Graph Theory</t>
  </si>
  <si>
    <t>BFS/DFS traversal, topological sort</t>
  </si>
  <si>
    <t>Trees, Recursion</t>
  </si>
  <si>
    <t>Master the two foundational graph traversal strategies and their applications.</t>
  </si>
  <si>
    <t>NeetCode - Graph Theory playlist</t>
  </si>
  <si>
    <t>'Elements of Programming Interviews' Ch.10</t>
  </si>
  <si>
    <t>LeetCode 207 - Course Schedule (topological sort)</t>
  </si>
  <si>
    <t>When would you use BFS over DFS for shortest path in unweighted graphs? | How does Kahn's algorithm detect a cycle?</t>
  </si>
  <si>
    <t>Foundation for almost everything else in this section.</t>
  </si>
  <si>
    <t>Shortest Path</t>
  </si>
  <si>
    <t>Dijkstra, Bellman-Ford, Floyd-Warshall</t>
  </si>
  <si>
    <t>Graph Theory, Heaps</t>
  </si>
  <si>
    <t>Compare shortest-path algorithms and know when each applies (negative weights, all-pairs, etc).</t>
  </si>
  <si>
    <t>William Fiset - Shortest Path Algorithms playlist</t>
  </si>
  <si>
    <t>'Introduction to Algorithms' (CLRS) Ch.24-25</t>
  </si>
  <si>
    <t>LeetCode 743 - Network Delay Time (Dijkstra)</t>
  </si>
  <si>
    <t>Build a route-finder over a weighted graph with negative edges</t>
  </si>
  <si>
    <t>Why does Dijkstra fail with negative edge weights? | What's the time complexity of Floyd-Warshall and when is it worth it?</t>
  </si>
  <si>
    <t>Bellman-Ford's relaxation idea reappears in distributed consensus discussions.</t>
  </si>
  <si>
    <t>Topological Sort</t>
  </si>
  <si>
    <t>Kahn's algorithm &amp; DFS-based ordering</t>
  </si>
  <si>
    <t>Order a DAG's nodes such that all edges point forward.</t>
  </si>
  <si>
    <t>NeetCode - Topological Sort</t>
  </si>
  <si>
    <t>LeetCode 210 - Course Schedule II</t>
  </si>
  <si>
    <t>How do you detect a cycle using DFS-based topological sort? | Why does Kahn's algorithm use in-degree counting?</t>
  </si>
  <si>
    <t>Directly analogous to task/DAG scheduling in Airflow.</t>
  </si>
  <si>
    <t>Maximum Flow</t>
  </si>
  <si>
    <t>Ford-Fulkerson, Edmonds-Karp, BFS augmenting paths</t>
  </si>
  <si>
    <t>Graph Theory, BFS</t>
  </si>
  <si>
    <t>Compute max flow / min cut on a flow network.</t>
  </si>
  <si>
    <t>William Fiset - Max Flow Ford-Fulkerson</t>
  </si>
  <si>
    <t>'Introduction to Algorithms' (CLRS) Ch.26</t>
  </si>
  <si>
    <t>LeetCode 1584 (adapted) - build a bipartite matching solver via max flow</t>
  </si>
  <si>
    <t>Why does Edmonds-Karp guarantee polynomial time over naive Ford-Fulkerson? | How does max-flow relate to min-cut (max-flow min-cut theorem)?</t>
  </si>
  <si>
    <t>Rare in interviews but foundational for network/resource-allocation system design.</t>
  </si>
  <si>
    <t>Minimum Cut</t>
  </si>
  <si>
    <t>Max-flow min-cut theorem applications</t>
  </si>
  <si>
    <t>Apply the max-flow min-cut duality to partitioning problems.</t>
  </si>
  <si>
    <t>William Fiset - Min Cut explained</t>
  </si>
  <si>
    <t>'Introduction to Algorithms' (CLRS) Ch.26.2</t>
  </si>
  <si>
    <t>Model a bipartite matching problem as a min-cut problem and solve it</t>
  </si>
  <si>
    <t>How would you frame a resource-bottleneck problem as a min-cut problem?</t>
  </si>
  <si>
    <t>Good for research-engineer-level 'reduce to a known problem' interview questions.</t>
  </si>
  <si>
    <t>Dynamic Programming, Greedy &amp; Backtracking</t>
  </si>
  <si>
    <t>Dynamic Programming</t>
  </si>
  <si>
    <t>1D/2D DP, state design, memoization vs tabulation</t>
  </si>
  <si>
    <t>Recursion</t>
  </si>
  <si>
    <t>Systematically design DP states and transitions instead of pattern-matching.</t>
  </si>
  <si>
    <t>NeetCode - Dynamic Programming playlist</t>
  </si>
  <si>
    <t>'Elements of Programming Interviews' Ch.16</t>
  </si>
  <si>
    <t>LeetCode 322 - Coin Change</t>
  </si>
  <si>
    <t>How do you identify overlapping subproblems vs optimal substructure? | When does bottom-up beat top-down memoization?</t>
  </si>
  <si>
    <t>The single highest-leverage topic for FAANG/AI-lab onsites.</t>
  </si>
  <si>
    <t>Advanced DP</t>
  </si>
  <si>
    <t>Digit DP, bitmask DP, DP on trees</t>
  </si>
  <si>
    <t>Dynamic Programming, Bit Manipulation</t>
  </si>
  <si>
    <t>Extend DP to non-obvious state spaces: digits, subsets, and tree structures.</t>
  </si>
  <si>
    <t>Errichto - Advanced DP techniques</t>
  </si>
  <si>
    <t>'Competitive Programmer's Handbook' Ch.7</t>
  </si>
  <si>
    <t>LeetCode 1125 - Smallest Sufficient Team (bitmask DP)</t>
  </si>
  <si>
    <t>How does DP on trees combine child subtree results at each node? | What's the state space of a bitmask-DP TSP solution?</t>
  </si>
  <si>
    <t>Research-engineer level; less common but signals real algorithmic depth.</t>
  </si>
  <si>
    <t>Greedy</t>
  </si>
  <si>
    <t>Exchange argument &amp; interval scheduling</t>
  </si>
  <si>
    <t>Sorting</t>
  </si>
  <si>
    <t>Prove greedy correctness using exchange arguments rather than intuition alone.</t>
  </si>
  <si>
    <t>NeetCode - Greedy playlist</t>
  </si>
  <si>
    <t>'Introduction to Algorithms' (CLRS) Ch.16</t>
  </si>
  <si>
    <t>LeetCode 435 - Non-overlapping Intervals</t>
  </si>
  <si>
    <t>How do you prove a greedy choice is safe (exchange argument)? | When does greedy fail where DP succeeds?</t>
  </si>
  <si>
    <t>Interviewers often ask you to justify why greedy works here.</t>
  </si>
  <si>
    <t>Backtracking</t>
  </si>
  <si>
    <t>Constraint satisfaction &amp; pruning</t>
  </si>
  <si>
    <t>Systematically explore solution spaces with pruning for combinatorial problems.</t>
  </si>
  <si>
    <t>NeetCode - Backtracking playlist</t>
  </si>
  <si>
    <t>'Elements of Programming Interviews' Ch.15</t>
  </si>
  <si>
    <t>LeetCode 51 - N-Queens</t>
  </si>
  <si>
    <t>How does backtracking differ from brute-force DFS? | What pruning strategies cut the search space fastest?</t>
  </si>
  <si>
    <t>N-Queens and Sudoku solvers are the canonical practice set.</t>
  </si>
  <si>
    <t>Computational Geometry</t>
  </si>
  <si>
    <t>Convex hull, line sweep</t>
  </si>
  <si>
    <t>Sorting, Vectors</t>
  </si>
  <si>
    <t>Apply geometric primitives (cross product, sweep line) to spatial problems.</t>
  </si>
  <si>
    <t>William Fiset - Computational Geometry intro</t>
  </si>
  <si>
    <t>'Competitive Programmer's Handbook' Ch.29</t>
  </si>
  <si>
    <t>LeetCode 587 - Erect the Fence (convex hull)</t>
  </si>
  <si>
    <t>How does the cross product determine turn direction (CCW/CW)? | What's the time complexity of Graham scan?</t>
  </si>
  <si>
    <t>Rarely asked directly but shows up in spatial-indexing system design.</t>
  </si>
  <si>
    <t>String Algorithms &amp; Probabilistic Structures</t>
  </si>
  <si>
    <t>String Algorithms</t>
  </si>
  <si>
    <t>KMP, Z-function, Rabin-Karp</t>
  </si>
  <si>
    <t>Strings</t>
  </si>
  <si>
    <t>Match patterns in text in linear time instead of naive O(nm).</t>
  </si>
  <si>
    <t>NeetCode / Errichto - String Matching Algorithms</t>
  </si>
  <si>
    <t>'Competitive Programmer's Handbook' Ch.26</t>
  </si>
  <si>
    <t>LeetCode 28 - Find the Index of the First Occurrence (implement KMP)</t>
  </si>
  <si>
    <t>How does the KMP failure function avoid re-scanning characters? | Why is Rabin-Karp's rolling hash O(1) per shift?</t>
  </si>
  <si>
    <t>KMP's failure function idea reappears in tokenizer/BPE merge logic.</t>
  </si>
  <si>
    <t>Bloom Filter</t>
  </si>
  <si>
    <t>Probabilistic set membership</t>
  </si>
  <si>
    <t>Hashing basics</t>
  </si>
  <si>
    <t>Trade a small false-positive rate for O(1) space-efficient membership tests.</t>
  </si>
  <si>
    <t>William Fiset - Bloom Filters explained</t>
  </si>
  <si>
    <t>'Mining of Massive Datasets' Ch.4 (free Stanford book)</t>
  </si>
  <si>
    <t>redis.io/docs/data-types/probabilistic/bloom-filter</t>
  </si>
  <si>
    <t>Implement a Bloom filter from scratch and measure its false-positive rate</t>
  </si>
  <si>
    <t>Add a Bloom filter in front of a cache to avoid cache-miss storms</t>
  </si>
  <si>
    <t>How do you choose the number of hash functions to minimize false positives? | Why can't a Bloom filter support deletion?</t>
  </si>
  <si>
    <t>Directly usable in your Redis-based systems work.</t>
  </si>
  <si>
    <t>HyperLogLog</t>
  </si>
  <si>
    <t>Cardinality estimation</t>
  </si>
  <si>
    <t>Probability basics, Hashing</t>
  </si>
  <si>
    <t>Estimate distinct-element counts in a stream using sublinear memory.</t>
  </si>
  <si>
    <t>Google - HyperLogLog explained (conference talk)</t>
  </si>
  <si>
    <t>'Mining of Massive Datasets' Ch.4.4</t>
  </si>
  <si>
    <t>redis.io/docs/data-types/probabilistic/hyperloglogs</t>
  </si>
  <si>
    <t>Implement a simplified HLL and compare its estimate to a true distinct count</t>
  </si>
  <si>
    <t>How does HLL use the position of the leftmost 1-bit to estimate cardinality? | What's the typical error rate of HLL?</t>
  </si>
  <si>
    <t>Redis ships PFADD/PFCOUNT built on this exact structure.</t>
  </si>
  <si>
    <t>Count-Min Sketch</t>
  </si>
  <si>
    <t>Approximate frequency counting</t>
  </si>
  <si>
    <t>Hashing, Probability</t>
  </si>
  <si>
    <t>Estimate item frequencies in a stream with bounded error using sublinear space.</t>
  </si>
  <si>
    <t>Mining Massive Datasets - Count-Min Sketch lecture (Stanford CS246)</t>
  </si>
  <si>
    <t>'Mining of Massive Datasets' Ch.4.5</t>
  </si>
  <si>
    <t>Implement a count-min sketch and measure its overestimation error</t>
  </si>
  <si>
    <t>Why does count-min sketch only ever overestimate, never underestimate? | How do width and depth trade off accuracy vs memory?</t>
  </si>
  <si>
    <t>Useful for rate-limiting and top-k frequency estimation at scale.</t>
  </si>
  <si>
    <t>LRU Cache</t>
  </si>
  <si>
    <t>Doubly linked list + hashmap design</t>
  </si>
  <si>
    <t>Hashing, Linked Lists</t>
  </si>
  <si>
    <t>Implement O(1) get/put cache eviction from scratch.</t>
  </si>
  <si>
    <t>NeetCode - LRU Cache walkthrough</t>
  </si>
  <si>
    <t>'Elements of Programming Interviews' Ch.13</t>
  </si>
  <si>
    <t>LeetCode 146 - LRU Cache</t>
  </si>
  <si>
    <t>Why do you need both a hashmap and a doubly linked list? | How would you make an LRU cache thread-safe?</t>
  </si>
  <si>
    <t>One of the most frequently asked 'design a data structure' interview questions.</t>
  </si>
  <si>
    <t>LFU Cache</t>
  </si>
  <si>
    <t>Frequency-bucketed eviction design</t>
  </si>
  <si>
    <t>Implement O(1) get/put with least-frequently-used eviction.</t>
  </si>
  <si>
    <t>NeetCode - LFU Cache walkthrough</t>
  </si>
  <si>
    <t>'Elements of Programming Interviews' Ch.13 (extension)</t>
  </si>
  <si>
    <t>LeetCode 460 - LFU Cache</t>
  </si>
  <si>
    <t>How do frequency buckets keep LFU operations O(1)? | How do you break ties between equally-frequent items?</t>
  </si>
  <si>
    <t>A step up in difficulty from LRU; a strong signal question for senior roles.</t>
  </si>
  <si>
    <t>Kernel, memory, scheduling, and modern I/O interfaces (eBPF, io_uring) relevant to systems-level ML engineering.</t>
  </si>
  <si>
    <t>Sheet Progress  —  25 topics total</t>
  </si>
  <si>
    <t>Kernel, System Calls &amp; Memory Management</t>
  </si>
  <si>
    <t>Kernel</t>
  </si>
  <si>
    <t>Monolithic vs microkernel, kernel/user space boundary</t>
  </si>
  <si>
    <t>OS fundamentals</t>
  </si>
  <si>
    <t>Understand how the kernel mediates all hardware access and enforces isolation.</t>
  </si>
  <si>
    <t>Neso Academy - OS Kernel basics</t>
  </si>
  <si>
    <t>'Operating Systems: Three Easy Pieces' (OSTEP) Ch.2 (free online)</t>
  </si>
  <si>
    <t>kernel.org/doc/html/latest/</t>
  </si>
  <si>
    <t>Trace a syscall from user space to kernel space with strace</t>
  </si>
  <si>
    <t>Why is a syscall slower than a function call? | What's the tradeoff between monolithic and microkernel designs?</t>
  </si>
  <si>
    <t>OSTEP is the best free resource for this entire sheet.</t>
  </si>
  <si>
    <t>System Calls</t>
  </si>
  <si>
    <t>syscall mechanism, vDSO, syscall table</t>
  </si>
  <si>
    <t>Understand how the syscall instruction transitions privilege levels.</t>
  </si>
  <si>
    <t>CS 162 Berkeley - Syscalls lecture</t>
  </si>
  <si>
    <t>OSTEP Ch.2-3</t>
  </si>
  <si>
    <t>man7.org/linux/man-pages/man2/syscalls.2.html</t>
  </si>
  <si>
    <t>Use strace to profile syscall overhead of a Python script</t>
  </si>
  <si>
    <t>What does vDSO optimize (e.g. gettimeofday)? | Why is a context switch required for a syscall?</t>
  </si>
  <si>
    <t>vDSO avoids a full kernel trap for cheap, frequently-called syscalls.</t>
  </si>
  <si>
    <t>Memory Management</t>
  </si>
  <si>
    <t>Address spaces, heap/stack layout</t>
  </si>
  <si>
    <t>Understand how a process's virtual address space is organized.</t>
  </si>
  <si>
    <t>CS 162 Berkeley - Memory Management lecture</t>
  </si>
  <si>
    <t>OSTEP Ch.13-15</t>
  </si>
  <si>
    <t>Inspect /proc/[pid]/maps for a running process</t>
  </si>
  <si>
    <t>Why does every process see its own full address space? | What lives in the heap vs the stack?</t>
  </si>
  <si>
    <t>Directly useful when debugging container OOM kills.</t>
  </si>
  <si>
    <t>Virtual Memory</t>
  </si>
  <si>
    <t>Address translation &amp; demand paging</t>
  </si>
  <si>
    <t>Understand how virtual addresses are translated to physical ones on demand.</t>
  </si>
  <si>
    <t>CS 162 Berkeley - Virtual Memory lecture</t>
  </si>
  <si>
    <t>OSTEP Ch.18-19</t>
  </si>
  <si>
    <t>Simulate a simple page table lookup in Python</t>
  </si>
  <si>
    <t>What triggers a page fault and how is it handled? | Why is demand paging more efficient than eager loading?</t>
  </si>
  <si>
    <t>Foundation for understanding container memory limits and OOM behavior.</t>
  </si>
  <si>
    <t>Paging</t>
  </si>
  <si>
    <t>Multi-level page tables, page replacement (LRU, clock)</t>
  </si>
  <si>
    <t>Understand how multi-level page tables scale to large address spaces.</t>
  </si>
  <si>
    <t>CS 162 Berkeley - Paging lecture</t>
  </si>
  <si>
    <t>OSTEP Ch.20-22</t>
  </si>
  <si>
    <t>Implement a clock-algorithm page replacement simulator</t>
  </si>
  <si>
    <t>Why use multi-level page tables instead of a flat table? | How does the clock algorithm approximate LRU cheaply?</t>
  </si>
  <si>
    <t>Clock algorithm is a recurring 'approximate LRU' interview theme (also see caching).</t>
  </si>
  <si>
    <t>Segmentation</t>
  </si>
  <si>
    <t>Segments vs paging, external fragmentation</t>
  </si>
  <si>
    <t>Compare segmentation to paging and understand why modern OSes favor paging.</t>
  </si>
  <si>
    <t>CS 162 Berkeley - Segmentation lecture</t>
  </si>
  <si>
    <t>OSTEP Ch.16</t>
  </si>
  <si>
    <t>Why does segmentation cause external fragmentation but paging doesn't? | Where does segmentation still survive today (x86 legacy)?</t>
  </si>
  <si>
    <t>Mostly historical context now, but a common conceptual-comparison question.</t>
  </si>
  <si>
    <t>TLB</t>
  </si>
  <si>
    <t>Translation Lookaside Buffer &amp; TLB misses</t>
  </si>
  <si>
    <t>Understand how the TLB caches address translations and why TLB misses are costly.</t>
  </si>
  <si>
    <t>CS 162 Berkeley - TLB lecture</t>
  </si>
  <si>
    <t>OSTEP Ch.19</t>
  </si>
  <si>
    <t>Measure TLB-miss-sensitive vs friendly memory access patterns with perf</t>
  </si>
  <si>
    <t>Why does a TLB miss require a full page-table walk? | How does a TLB shootdown work on multi-core systems?</t>
  </si>
  <si>
    <t>TLB shootdowns are a real source of tail latency in multi-threaded servers.</t>
  </si>
  <si>
    <t>Huge Pages</t>
  </si>
  <si>
    <t>Transparent huge pages &amp; reducing TLB pressure</t>
  </si>
  <si>
    <t>Understand how huge pages reduce TLB miss rate for large-memory workloads.</t>
  </si>
  <si>
    <t>Brendan Gregg - Huge Pages performance talk</t>
  </si>
  <si>
    <t>Linux kernel docs - Transparent Hugepage Support</t>
  </si>
  <si>
    <t>kernel.org/doc/html/latest/admin-guide/mm/transhuge.html</t>
  </si>
  <si>
    <t>Enable/disable THP and benchmark a memory-bound workload</t>
  </si>
  <si>
    <t>Why do huge pages help GPU-adjacent memory-bound workloads? | What's a downside of transparent huge pages?</t>
  </si>
  <si>
    <t>Relevant to tuning large ML training/inference hosts.</t>
  </si>
  <si>
    <t>NUMA</t>
  </si>
  <si>
    <t>Non-Uniform Memory Access &amp; node affinity</t>
  </si>
  <si>
    <t>Understand how memory locality to a CPU socket affects latency at scale.</t>
  </si>
  <si>
    <t>Brendan Gregg - NUMA performance talk</t>
  </si>
  <si>
    <t>OSTEP supplementary notes on NUMA</t>
  </si>
  <si>
    <t>kernel.org/doc/html/latest/vm/numa.html</t>
  </si>
  <si>
    <t>Use numactl to pin a process and measure latency difference</t>
  </si>
  <si>
    <t>Why does cross-NUMA-node memory access cost more? | How would you tune a multi-GPU training job for NUMA affinity?</t>
  </si>
  <si>
    <t>Directly relevant to multi-GPU server performance tuning.</t>
  </si>
  <si>
    <t>Scheduling &amp; Synchronization</t>
  </si>
  <si>
    <t>Context Switching</t>
  </si>
  <si>
    <t>Save/restore state, cost of a context switch</t>
  </si>
  <si>
    <t>Kernel, Memory Management</t>
  </si>
  <si>
    <t>Understand what actually happens during a context switch and why it's expensive.</t>
  </si>
  <si>
    <t>CS 162 Berkeley - Context Switching lecture</t>
  </si>
  <si>
    <t>OSTEP Ch.6</t>
  </si>
  <si>
    <t>Measure context-switch latency with a benchmark like lat_ctx</t>
  </si>
  <si>
    <t>Why is a context switch more expensive than a function call? | What state must be saved/restored?</t>
  </si>
  <si>
    <t>Ties directly into why thread-pool sizing matters for throughput.</t>
  </si>
  <si>
    <t>CPU Scheduling</t>
  </si>
  <si>
    <t>CFS, priority scheduling, real-time scheduling</t>
  </si>
  <si>
    <t>Understand how Linux's Completely Fair Scheduler allocates CPU time.</t>
  </si>
  <si>
    <t>CS 162 Berkeley - Scheduling lecture</t>
  </si>
  <si>
    <t>OSTEP Ch.7-9</t>
  </si>
  <si>
    <t>kernel.org/doc/html/latest/scheduler/sched-design-CFS.html</t>
  </si>
  <si>
    <t>Inspect scheduling behavior with chrt and nice priorities</t>
  </si>
  <si>
    <t>How does CFS use a red-black tree keyed on vruntime? | When would you use SCHED_FIFO over the default scheduler?</t>
  </si>
  <si>
    <t>CFS internals are a strong senior-level systems interview topic.</t>
  </si>
  <si>
    <t>Synchronization</t>
  </si>
  <si>
    <t>Race conditions, critical sections</t>
  </si>
  <si>
    <t>Threading concepts</t>
  </si>
  <si>
    <t>Understand why shared mutable state requires coordinated access.</t>
  </si>
  <si>
    <t>CS 162 Berkeley - Synchronization lecture</t>
  </si>
  <si>
    <t>OSTEP Ch.28</t>
  </si>
  <si>
    <t>Reproduce a race condition with threads and fix it with a lock</t>
  </si>
  <si>
    <t>What makes an operation 'atomic'? | Why can even x += 1 be unsafe across threads?</t>
  </si>
  <si>
    <t>Foundation before Mutex/Semaphore/Lock-Free below.</t>
  </si>
  <si>
    <t>Mutex</t>
  </si>
  <si>
    <t>Mutual exclusion implementation &amp; spinlocks</t>
  </si>
  <si>
    <t>Understand mutex implementation strategies from spinlocks to futexes.</t>
  </si>
  <si>
    <t>CS 162 Berkeley - Locks lecture</t>
  </si>
  <si>
    <t>man7.org/linux/man-pages/man2/futex.2.html</t>
  </si>
  <si>
    <t>Implement a spinlock using compare-and-swap</t>
  </si>
  <si>
    <t>Why does Linux use futexes instead of always spinning or always sleeping? | What is priority inversion?</t>
  </si>
  <si>
    <t>Futex is the real mechanism under Python's threading.Lock on Linux.</t>
  </si>
  <si>
    <t>Semaphore</t>
  </si>
  <si>
    <t>Counting semaphores &amp; producer-consumer</t>
  </si>
  <si>
    <t>Use semaphores to coordinate access to a bounded number of resources.</t>
  </si>
  <si>
    <t>CS 162 Berkeley - Semaphores lecture</t>
  </si>
  <si>
    <t>OSTEP Ch.31</t>
  </si>
  <si>
    <t>Implement a bounded buffer producer-consumer with semaphores</t>
  </si>
  <si>
    <t>How does a semaphore differ from a mutex conceptually? | How would you implement a mutex using a semaphore?</t>
  </si>
  <si>
    <t>Classic producer-consumer questions test this directly.</t>
  </si>
  <si>
    <t>Lock-Free Programming</t>
  </si>
  <si>
    <t>CAS, ABA problem, lock-free queues</t>
  </si>
  <si>
    <t>Mutex, Memory ordering</t>
  </si>
  <si>
    <t>Understand how atomic compare-and-swap enables synchronization without blocking.</t>
  </si>
  <si>
    <t>CppCon - Lock-Free Programming (concepts transfer across languages)</t>
  </si>
  <si>
    <t>'The Art of Multiprocessor Programming' Ch.10 (Herlihy &amp; Shavit)</t>
  </si>
  <si>
    <t>Implement a lock-free stack using compare-and-swap</t>
  </si>
  <si>
    <t>What is the ABA problem and how do you avoid it? | Why is lock-free code still hard even without deadlocks?</t>
  </si>
  <si>
    <t>Comes up in high-throughput inference-server queue design.</t>
  </si>
  <si>
    <t>Modern Kernel Interfaces &amp; I/O</t>
  </si>
  <si>
    <t>eBPF</t>
  </si>
  <si>
    <t>Sandboxed kernel programs for tracing/networking</t>
  </si>
  <si>
    <t>Kernel, System Calls</t>
  </si>
  <si>
    <t>Understand how eBPF lets you run safe custom code inside the kernel for observability.</t>
  </si>
  <si>
    <t>Brendan Gregg - BPF Performance Tools talk</t>
  </si>
  <si>
    <t>'BPF Performance Tools' book (Gregg) - free sample chapters</t>
  </si>
  <si>
    <t>ebpf.io/what-is-ebpf</t>
  </si>
  <si>
    <t>Write a simple bpftrace one-liner to trace syscall latency</t>
  </si>
  <si>
    <t>Why is eBPF verified/sandboxed before it runs in-kernel? | What problems does eBPF solve that used to require kernel modules?</t>
  </si>
  <si>
    <t>Increasingly a required skill for production infra/observability roles.</t>
  </si>
  <si>
    <t>io_uring</t>
  </si>
  <si>
    <t>Async I/O without syscall-per-operation overhead</t>
  </si>
  <si>
    <t>System Calls, Async IO</t>
  </si>
  <si>
    <t>Understand how io_uring's shared ring buffers eliminate per-I/O syscall cost.</t>
  </si>
  <si>
    <t>Jens Axboe - io_uring introduction talk</t>
  </si>
  <si>
    <t>kernel.org io_uring documentation</t>
  </si>
  <si>
    <t>kernel.org/doc/html/latest/networking/io_uring.html</t>
  </si>
  <si>
    <t>Benchmark io_uring vs epoll for a simple I/O-bound workload (via a wrapper library)</t>
  </si>
  <si>
    <t>How does io_uring avoid a syscall per I/O operation? | Why is it a major win for high-throughput servers?</t>
  </si>
  <si>
    <t>Cutting-edge topic; strong signal for systems-depth interviews.</t>
  </si>
  <si>
    <t>epoll</t>
  </si>
  <si>
    <t>Readiness-based I/O multiplexing</t>
  </si>
  <si>
    <t>Selectors, System Calls</t>
  </si>
  <si>
    <t>Understand how epoll scales to tens of thousands of connections.</t>
  </si>
  <si>
    <t>CS 162 Berkeley adjacent - epoll deep dive (conference talks)</t>
  </si>
  <si>
    <t>man7.org/linux/man-pages/man7/epoll.7.html</t>
  </si>
  <si>
    <t>Build a minimal epoll-based echo server in C or via Python's selectors</t>
  </si>
  <si>
    <t>Why does epoll scale better than select/poll (O(1) vs O(n))? | What's the difference between edge- and level-triggered epoll?</t>
  </si>
  <si>
    <t>This is literally what asyncio's event loop uses on Linux.</t>
  </si>
  <si>
    <t>Signals</t>
  </si>
  <si>
    <t>Signal delivery, handlers, async-signal-safety</t>
  </si>
  <si>
    <t>Understand how the kernel delivers asynchronous notifications to processes.</t>
  </si>
  <si>
    <t>CS 162 Berkeley - Signals lecture</t>
  </si>
  <si>
    <t>OSTEP supplementary notes</t>
  </si>
  <si>
    <t>man7.org/linux/man-pages/man7/signal.7.html</t>
  </si>
  <si>
    <t>Write a SIGTERM handler that gracefully shuts down a server</t>
  </si>
  <si>
    <t>Why must signal handlers only call async-signal-safe functions? | How do you handle SIGTERM gracefully in a long-running service?</t>
  </si>
  <si>
    <t>Directly relevant to graceful shutdown in containerized services.</t>
  </si>
  <si>
    <t>Interrupts</t>
  </si>
  <si>
    <t>Hardware interrupts vs software interrupts</t>
  </si>
  <si>
    <t>Understand how hardware interrupts trigger kernel execution outside normal syscalls.</t>
  </si>
  <si>
    <t>CS 162 Berkeley - Interrupts lecture</t>
  </si>
  <si>
    <t>OSTEP Ch.6 (interrupt-related sections)</t>
  </si>
  <si>
    <t>What's the difference between a hardware interrupt and a trap/exception? | Why do interrupt handlers run with interrupts disabled?</t>
  </si>
  <si>
    <t>Foundational, mostly conceptual for an application/systems engineer.</t>
  </si>
  <si>
    <t>DMA</t>
  </si>
  <si>
    <t>Direct Memory Access &amp; CPU offload</t>
  </si>
  <si>
    <t>Understand how DMA lets devices transfer data without CPU involvement.</t>
  </si>
  <si>
    <t>Brendan Gregg adjacent - DMA &amp; I/O performance talk</t>
  </si>
  <si>
    <t>OSTEP supplementary I/O chapter</t>
  </si>
  <si>
    <t>Why does DMA reduce CPU overhead for large transfers? | How does DMA relate to GPU-to-host memory transfers?</t>
  </si>
  <si>
    <t>Directly relevant to understanding cudaMemcpy performance.</t>
  </si>
  <si>
    <t>Zero Copy Networking</t>
  </si>
  <si>
    <t>sendfile, mmap, avoiding buffer copies</t>
  </si>
  <si>
    <t>DMA, epoll</t>
  </si>
  <si>
    <t>Understand how zero-copy techniques avoid redundant kernel/user buffer copies.</t>
  </si>
  <si>
    <t>Brendan Gregg - Zero Copy talk</t>
  </si>
  <si>
    <t>'Systems Performance' (Gregg) Ch.10 (selected)</t>
  </si>
  <si>
    <t>man7.org/linux/man-pages/man2/sendfile.2.html</t>
  </si>
  <si>
    <t>Benchmark sendfile() vs read+write for a file-serving workload</t>
  </si>
  <si>
    <t>How does sendfile() avoid a userspace copy? | Where does zero-copy matter for high-throughput model-serving?</t>
  </si>
  <si>
    <t>Relevant to serving large model weight files efficiently.</t>
  </si>
  <si>
    <t>Linux Performance Tools</t>
  </si>
  <si>
    <t>perf, top, vmstat, iostat</t>
  </si>
  <si>
    <t>Linux fundamentals</t>
  </si>
  <si>
    <t>Use the standard Linux toolbox to diagnose CPU/memory/IO bottlenecks.</t>
  </si>
  <si>
    <t>Brendan Gregg - Linux Performance Tools talk (USE Method)</t>
  </si>
  <si>
    <t>'Systems Performance' (Gregg) Ch.4, free sample</t>
  </si>
  <si>
    <t>brendangregg.com/linuxperf.html</t>
  </si>
  <si>
    <t>Diagnose a synthetic CPU-bound vs IO-bound bottleneck using perf/vmstat/iostat</t>
  </si>
  <si>
    <t>What is the USE method (Utilization, Saturation, Errors)? | How do you tell CPU-bound from IO-bound from vmstat output?</t>
  </si>
  <si>
    <t>Brendan Gregg's performance-tools poster is the single best free reference here.</t>
  </si>
  <si>
    <t>Flame graphs &amp; perf record/report</t>
  </si>
  <si>
    <t>perf basics</t>
  </si>
  <si>
    <t>Generate and read flame graphs to find hot code paths system-wide.</t>
  </si>
  <si>
    <t>Brendan Gregg - Flame Graphs talk</t>
  </si>
  <si>
    <t>brendangregg.com/flamegraphs.html</t>
  </si>
  <si>
    <t>github.com/brendangregg/FlameGraph</t>
  </si>
  <si>
    <t>Generate a flame graph for a CPU-bound Python or C workload</t>
  </si>
  <si>
    <t>How do you read width vs depth in a flame graph? | What's the difference between an on-CPU and off-CPU flame graph?</t>
  </si>
  <si>
    <t>A must-have skill for any systems-level performance-debugging interview.</t>
  </si>
  <si>
    <t>strace, ltrace, and syscall-level debugging</t>
  </si>
  <si>
    <t>Trace syscalls and library calls to debug unexpected latency or behavior.</t>
  </si>
  <si>
    <t>Julia Evans - strace zine/talk</t>
  </si>
  <si>
    <t>'Systems Performance' (Gregg) Ch.4.4</t>
  </si>
  <si>
    <t>man7.org/linux/man-pages/man1/strace.1.html</t>
  </si>
  <si>
    <t>Use strace -c to find which syscalls dominate a script's runtime</t>
  </si>
  <si>
    <t>Why does strace slow down the traced process significantly? | When would you reach for ltrace instead of strace?</t>
  </si>
  <si>
    <t>Great first move when debugging 'why is this container slow'.</t>
  </si>
  <si>
    <t>Transport/application-layer protocols, load balancing, and RPC relevant to serving infrastructure.</t>
  </si>
  <si>
    <t>Sheet Progress  —  21 topics total</t>
  </si>
  <si>
    <t>Transport Layer</t>
  </si>
  <si>
    <t>TCP</t>
  </si>
  <si>
    <t>Three-way handshake, flow control, retransmission</t>
  </si>
  <si>
    <t>Networking fundamentals</t>
  </si>
  <si>
    <t>Understand TCP's reliability guarantees and how they're implemented.</t>
  </si>
  <si>
    <t>CS 168 Berkeley - TCP lecture</t>
  </si>
  <si>
    <t>'Computer Networking: A Top-Down Approach' Ch.3 (Kurose &amp; Ross)</t>
  </si>
  <si>
    <t>datatracker.ietf.org/doc/html/rfc9293</t>
  </si>
  <si>
    <t>Capture a TCP handshake with tcpdump and annotate each packet</t>
  </si>
  <si>
    <t>Why does TCP use a 3-way handshake instead of 2? | How does the sliding window enable flow control?</t>
  </si>
  <si>
    <t>RFC 9293 is the current TCP spec (obsoletes RFC 793).</t>
  </si>
  <si>
    <t>UDP</t>
  </si>
  <si>
    <t>Connectionless delivery &amp; use cases</t>
  </si>
  <si>
    <t>Understand when UDP's lack of guarantees is a feature, not a bug.</t>
  </si>
  <si>
    <t>CS 168 Berkeley - UDP lecture</t>
  </si>
  <si>
    <t>'Computer Networking: A Top-Down Approach' Ch.3.3</t>
  </si>
  <si>
    <t>datatracker.ietf.org/doc/html/rfc768</t>
  </si>
  <si>
    <t>Build a simple UDP echo client/server</t>
  </si>
  <si>
    <t>Why is UDP preferred for real-time streaming/gaming? | What has to be built on top of UDP to make it reliable (see QUIC)?</t>
  </si>
  <si>
    <t>UDP's simplicity is exactly why QUIC was built on top of it instead of TCP.</t>
  </si>
  <si>
    <t>QUIC</t>
  </si>
  <si>
    <t>Stream multiplexing over UDP, 0-RTT</t>
  </si>
  <si>
    <t>TCP, UDP, TLS</t>
  </si>
  <si>
    <t>Understand how QUIC solves TCP head-of-line blocking and speeds up connection setup.</t>
  </si>
  <si>
    <t>Google/Cloudflare - QUIC explained talks</t>
  </si>
  <si>
    <t>'HTTP/3 Explained' (free online book by Daniel Stenberg)</t>
  </si>
  <si>
    <t>datatracker.ietf.org/doc/html/rfc9000</t>
  </si>
  <si>
    <t>Compare a QUIC vs TCP connection handshake with a packet capture</t>
  </si>
  <si>
    <t>How does QUIC avoid head-of-line blocking across streams? | Why can QUIC achieve 0-RTT reconnection?</t>
  </si>
  <si>
    <t>QUIC is the transport underneath HTTP/3.</t>
  </si>
  <si>
    <t>Congestion Control</t>
  </si>
  <si>
    <t>Slow start, AIMD, Reno vs Cubic</t>
  </si>
  <si>
    <t>Understand how TCP infers and reacts to network congestion.</t>
  </si>
  <si>
    <t>CS 168 Berkeley - Congestion Control lecture</t>
  </si>
  <si>
    <t>'Computer Networking: A Top-Down Approach' Ch.3.7</t>
  </si>
  <si>
    <t>datatracker.ietf.org/doc/html/rfc5681</t>
  </si>
  <si>
    <t>Plot TCP's congestion window growth using a packet capture</t>
  </si>
  <si>
    <t>Why does AIMD favor gradual increase and sharp decrease? | What's the practical difference between Reno and Cubic?</t>
  </si>
  <si>
    <t>Directly relevant to understanding throughput on high-bandwidth training clusters.</t>
  </si>
  <si>
    <t>BBR</t>
  </si>
  <si>
    <t>Bottleneck Bandwidth and RTT congestion control</t>
  </si>
  <si>
    <t>Understand how BBR models the network path instead of reacting to packet loss.</t>
  </si>
  <si>
    <t>Google - BBR congestion control talk</t>
  </si>
  <si>
    <t>Google's BBR paper (ACM Queue, free)</t>
  </si>
  <si>
    <t>github.com/google/bbr</t>
  </si>
  <si>
    <t>Compare throughput of Cubic vs BBR on a lossy simulated link (e.g. with tc netem)</t>
  </si>
  <si>
    <t>Why does BBR outperform loss-based algorithms on lossy but not congested links? | What two signals does BBR estimate?</t>
  </si>
  <si>
    <t>BBR is what many hyperscalers use for high-throughput data transfer.</t>
  </si>
  <si>
    <t>Application Layer &amp; Security</t>
  </si>
  <si>
    <t>HTTP/2</t>
  </si>
  <si>
    <t>Multiplexing, header compression (HPACK)</t>
  </si>
  <si>
    <t>HTTP/1.1 basics</t>
  </si>
  <si>
    <t>Understand how HTTP/2 solves HTTP/1.1's connection-per-request inefficiency.</t>
  </si>
  <si>
    <t>Cloudflare - HTTP/2 explained talk</t>
  </si>
  <si>
    <t>'HTTP/2 in Action' selected chapters (free excerpts)</t>
  </si>
  <si>
    <t>datatracker.ietf.org/doc/html/rfc9113</t>
  </si>
  <si>
    <t>Compare page-load waterfall for HTTP/1.1 vs HTTP/2</t>
  </si>
  <si>
    <t>How does HPACK reduce header overhead across requests? | What is stream multiplexing solving (head-of-line blocking at the app layer)?</t>
  </si>
  <si>
    <t>Still has TCP-level head-of-line blocking, which is what HTTP/3 fixes.</t>
  </si>
  <si>
    <t>HTTP/3</t>
  </si>
  <si>
    <t>QUIC-based HTTP, no TCP head-of-line blocking</t>
  </si>
  <si>
    <t>HTTP/2, QUIC</t>
  </si>
  <si>
    <t>Understand how HTTP/3 fully removes head-of-line blocking by running over QUIC.</t>
  </si>
  <si>
    <t>Cloudflare - HTTP/3 explained talk</t>
  </si>
  <si>
    <t>'HTTP/3 Explained' (free online book)</t>
  </si>
  <si>
    <t>datatracker.ietf.org/doc/html/rfc9114</t>
  </si>
  <si>
    <t>Test a site's HTTP/3 support and compare latency to HTTP/2</t>
  </si>
  <si>
    <t>Why does HTTP/3 avoid TCP-level head-of-line blocking while HTTP/2 doesn't? | What's the adoption tradeoff of HTTP/3 (UDP blocking by some networks)?</t>
  </si>
  <si>
    <t>Relevant to designing low-latency APIs for global inference endpoints.</t>
  </si>
  <si>
    <t>TLS</t>
  </si>
  <si>
    <t>TLS 1.3 handshake, certificates, forward secrecy</t>
  </si>
  <si>
    <t>Cryptography basics</t>
  </si>
  <si>
    <t>Understand how TLS establishes a secure channel and what changed in 1.3.</t>
  </si>
  <si>
    <t>Computerphile - TLS handshake explained</t>
  </si>
  <si>
    <t>'Bulletproof TLS and PKI' selected chapters (Ivan Ristic, free samples)</t>
  </si>
  <si>
    <t>datatracker.ietf.org/doc/html/rfc8446</t>
  </si>
  <si>
    <t>Capture and annotate a TLS 1.3 handshake with Wireshark</t>
  </si>
  <si>
    <t>Why is TLS 1.3's handshake faster (1-RTT vs 2-RTT)? | What does forward secrecy protect against?</t>
  </si>
  <si>
    <t>TLS 1.3 removed several legacy/insecure cipher options entirely.</t>
  </si>
  <si>
    <t>DNS</t>
  </si>
  <si>
    <t>Resolution hierarchy, caching, DNS-over-HTTPS</t>
  </si>
  <si>
    <t>Understand how domain names resolve through the recursive/authoritative hierarchy.</t>
  </si>
  <si>
    <t>CS 168 Berkeley - DNS lecture</t>
  </si>
  <si>
    <t>'Computer Networking: A Top-Down Approach' Ch.2.4</t>
  </si>
  <si>
    <t>datatracker.ietf.org/doc/html/rfc1035</t>
  </si>
  <si>
    <t>Trace a DNS resolution path with dig +trace</t>
  </si>
  <si>
    <t>Why does DNS use a hierarchical, cached design? | What privacy problem does DoH (DNS over HTTPS) address?</t>
  </si>
  <si>
    <t>DNS misconfig is one of the most common real-world outage causes.</t>
  </si>
  <si>
    <t>Routing, Load Balancing &amp; Proxies</t>
  </si>
  <si>
    <t>Routing</t>
  </si>
  <si>
    <t>BGP basics, route propagation</t>
  </si>
  <si>
    <t>Understand how autonomous systems exchange routes across the internet.</t>
  </si>
  <si>
    <t>CS 168 Berkeley - Routing/BGP lecture</t>
  </si>
  <si>
    <t>'Computer Networking: A Top-Down Approach' Ch.5.4</t>
  </si>
  <si>
    <t>datatracker.ietf.org/doc/html/rfc4271</t>
  </si>
  <si>
    <t>Why is BGP a path-vector rather than distance-vector protocol? | What causes a BGP route leak/hijack?</t>
  </si>
  <si>
    <t>Mostly conceptual for an application/ML engineer, but a common systems-breadth question.</t>
  </si>
  <si>
    <t>Load Balancers</t>
  </si>
  <si>
    <t>L4 vs L7 load balancing, health checks</t>
  </si>
  <si>
    <t>TCP, HTTP</t>
  </si>
  <si>
    <t>Understand the tradeoffs between transport-level and application-level load balancing.</t>
  </si>
  <si>
    <t>NGINX - Load Balancing explained (official talk)</t>
  </si>
  <si>
    <t>NGINX docs - load balancing guide</t>
  </si>
  <si>
    <t>nginx.org/en/docs/http/load_balancing.html</t>
  </si>
  <si>
    <t>Configure NGINX as an L7 load balancer with round-robin and least-conn</t>
  </si>
  <si>
    <t>When would you choose L4 over L7 load balancing? | How do health checks avoid routing to a dead backend?</t>
  </si>
  <si>
    <t>Directly relevant to designing multi-replica inference-serving deployments.</t>
  </si>
  <si>
    <t>NGINX</t>
  </si>
  <si>
    <t>Reverse proxy config, upstream blocks</t>
  </si>
  <si>
    <t>Load Balancers, HTTP</t>
  </si>
  <si>
    <t>Configure NGINX as a production-grade reverse proxy in front of an API.</t>
  </si>
  <si>
    <t>NGINX official crash course</t>
  </si>
  <si>
    <t>NGINX official documentation - beginner's guide</t>
  </si>
  <si>
    <t>nginx.org/en/docs/beginners_guide.html</t>
  </si>
  <si>
    <t>Set up NGINX in front of a FastAPI app with TLS termination</t>
  </si>
  <si>
    <t>Add rate limiting and caching to an NGINX reverse-proxy config</t>
  </si>
  <si>
    <t>What's the difference between proxy_pass and an upstream block? | How does NGINX handle connection keep-alive to backends?</t>
  </si>
  <si>
    <t>Given your FastAPI background, this connects directly to your existing stack.</t>
  </si>
  <si>
    <t>Envoy</t>
  </si>
  <si>
    <t>Sidecar proxy, service mesh data plane</t>
  </si>
  <si>
    <t>Load Balancers, gRPC</t>
  </si>
  <si>
    <t>Understand how Envoy provides observability, retries, and traffic shaping as a sidecar.</t>
  </si>
  <si>
    <t>Envoy Proxy - official intro talk</t>
  </si>
  <si>
    <t>envoyproxy.io official docs - intro</t>
  </si>
  <si>
    <t>envoyproxy.io/docs/envoy/latest/intro/intro</t>
  </si>
  <si>
    <t>Run Envoy as a sidecar in front of a local service and inspect its stats endpoint</t>
  </si>
  <si>
    <t>Why do service meshes use a sidecar proxy pattern? | What does Envoy's xDS API configure dynamically?</t>
  </si>
  <si>
    <t>Directly relevant to Kubernetes-based ML-serving infrastructure.</t>
  </si>
  <si>
    <t>Reverse Proxy</t>
  </si>
  <si>
    <t>Caching, TLS termination, request routing</t>
  </si>
  <si>
    <t>NGINX/Envoy</t>
  </si>
  <si>
    <t>Understand the general responsibilities a reverse proxy takes off application servers.</t>
  </si>
  <si>
    <t>NGINX - Reverse Proxy explained</t>
  </si>
  <si>
    <t>'Computer Networking: A Top-Down Approach' Ch.2.2 (proxy/cache section)</t>
  </si>
  <si>
    <t>What responsibilities should live in the proxy vs the application? | How does reverse-proxy caching reduce backend load?</t>
  </si>
  <si>
    <t>General pattern underlying NGINX/Envoy/HAProxy.</t>
  </si>
  <si>
    <t>Anycast</t>
  </si>
  <si>
    <t>Same IP, multiple locations, BGP-based routing</t>
  </si>
  <si>
    <t>Routing, CDNs</t>
  </si>
  <si>
    <t>Understand how anycast routes users to their nearest instance of a service.</t>
  </si>
  <si>
    <t>Cloudflare - How Anycast works (blog-adjacent talk)</t>
  </si>
  <si>
    <t>Cloudflare Learning Center - What Is Anycast</t>
  </si>
  <si>
    <t>cloudflare.com/learning/cdn/glossary/anycast-network/</t>
  </si>
  <si>
    <t>How does anycast use BGP to route to the 'nearest' server? | What happens during anycast failover?</t>
  </si>
  <si>
    <t>This is how most global CDNs and DNS resolvers (e.g. 1.1.1.1) work.</t>
  </si>
  <si>
    <t>RPC, gRPC &amp; CDNs</t>
  </si>
  <si>
    <t>gRPC</t>
  </si>
  <si>
    <t>Protobuf, HTTP/2 transport, streaming RPC</t>
  </si>
  <si>
    <t>HTTP/2, RPC concepts</t>
  </si>
  <si>
    <t>Build and reason about gRPC's four call types (unary, server/client/bidi streaming).</t>
  </si>
  <si>
    <t>gRPC official crash course (YouTube)</t>
  </si>
  <si>
    <t>grpc.io official documentation - core concepts</t>
  </si>
  <si>
    <t>grpc.io/docs/what-is-grpc/core-concepts/</t>
  </si>
  <si>
    <t>Build a bidirectional-streaming gRPC service for token streaming</t>
  </si>
  <si>
    <t>Convert a FastAPI REST endpoint to an equivalent gRPC service</t>
  </si>
  <si>
    <t>Why is gRPC often faster than REST/JSON for internal services? | When would bidirectional streaming beat a unary call for LLM token streaming?</t>
  </si>
  <si>
    <t>Directly relevant to low-latency internal microservice communication.</t>
  </si>
  <si>
    <t>RPC</t>
  </si>
  <si>
    <t>Remote procedure call semantics, idempotency</t>
  </si>
  <si>
    <t>Understand the guarantees (or lack thereof) RPC frameworks provide on failure.</t>
  </si>
  <si>
    <t>MIT 6.824 - RPC lecture</t>
  </si>
  <si>
    <t>'Distributed Systems' (van Steen &amp; Tanenbaum) Ch.4, free PDF</t>
  </si>
  <si>
    <t>What does 'at-most-once' vs 'at-least-once' RPC semantics mean? | Why must RPC handlers often be designed idempotent?</t>
  </si>
  <si>
    <t>This exact idempotency question resurfaces in distributed systems / Kafka contexts.</t>
  </si>
  <si>
    <t>CDNs</t>
  </si>
  <si>
    <t>Edge caching, cache invalidation, origin shielding</t>
  </si>
  <si>
    <t>Anycast, Reverse Proxy</t>
  </si>
  <si>
    <t>Understand how CDNs reduce latency and origin load via edge caching.</t>
  </si>
  <si>
    <t>Cloudflare - How a CDN works (official explainer)</t>
  </si>
  <si>
    <t>Cloudflare Learning Center - What is a CDN</t>
  </si>
  <si>
    <t>cloudflare.com/learning/cdn/what-is-a-cdn/</t>
  </si>
  <si>
    <t>How does cache invalidation work across thousands of edge nodes? | What is origin shielding protecting against?</t>
  </si>
  <si>
    <t>Relevant if you ever serve model weights or static assets globally.</t>
  </si>
  <si>
    <t>Packet Capture</t>
  </si>
  <si>
    <t>tcpdump filters &amp; capture strategy</t>
  </si>
  <si>
    <t>TCP/UDP</t>
  </si>
  <si>
    <t>Capture and filter live network traffic for debugging.</t>
  </si>
  <si>
    <t>Chris Greer - tcpdump crash course</t>
  </si>
  <si>
    <t>man7.org/linux/man-pages/man8/tcpdump.8.html</t>
  </si>
  <si>
    <t>tcpdump.org</t>
  </si>
  <si>
    <t>Capture and filter only SYN packets on a given port with tcpdump</t>
  </si>
  <si>
    <t>How do you filter tcpdump captures to a specific host/port? | Why capture at multiple points (client, LB, server) when debugging?</t>
  </si>
  <si>
    <t>First tool to reach for on 'why is this connection slow/dropping'.</t>
  </si>
  <si>
    <t>Wireshark</t>
  </si>
  <si>
    <t>Protocol dissection &amp; following TCP streams</t>
  </si>
  <si>
    <t>Use Wireshark's GUI to dissect protocols and follow full conversations.</t>
  </si>
  <si>
    <t>Chris Greer - Wireshark tutorials</t>
  </si>
  <si>
    <t>Wireshark official user guide</t>
  </si>
  <si>
    <t>wireshark.org/docs/wsug_html_chunked/</t>
  </si>
  <si>
    <t>Capture and 'Follow TCP Stream' on an HTTP request in Wireshark</t>
  </si>
  <si>
    <t>How do you use Wireshark's 'Follow Stream' to reconstruct an HTTP conversation? | What's the difference between a display filter and a capture filter?</t>
  </si>
  <si>
    <t>Great for visually debugging the same captures tcpdump takes.</t>
  </si>
  <si>
    <t>WireGuard</t>
  </si>
  <si>
    <t>Modern VPN protocol design</t>
  </si>
  <si>
    <t>TLS, Cryptography basics</t>
  </si>
  <si>
    <t>Understand why WireGuard's minimal design outperforms IPsec/OpenVPN.</t>
  </si>
  <si>
    <t>WireGuard official technical whitepaper talk</t>
  </si>
  <si>
    <t>wireguard.com/papers/wireguard.pdf (official whitepaper)</t>
  </si>
  <si>
    <t>wireguard.com</t>
  </si>
  <si>
    <t>Set up a WireGuard tunnel between two hosts</t>
  </si>
  <si>
    <t>Why is WireGuard's codebase so much smaller than IPsec's? | What cryptographic primitives does WireGuard use (Noise protocol)?</t>
  </si>
  <si>
    <t>Good to know for securing internal cluster/service-to-service traffic.</t>
  </si>
  <si>
    <t>PostgreSQL internals, analytical/vector stores, and distributed data concerns.</t>
  </si>
  <si>
    <t>Sheet Progress  —  17 topics total</t>
  </si>
  <si>
    <t>PostgreSQL Internals</t>
  </si>
  <si>
    <t>Process model &amp; shared buffers</t>
  </si>
  <si>
    <t>SQL fluency</t>
  </si>
  <si>
    <t>Understand PostgreSQL's process-per-connection architecture and shared memory.</t>
  </si>
  <si>
    <t>CMU Database Group - Postgres Internals lecture (15-445)</t>
  </si>
  <si>
    <t>'The Internals of PostgreSQL' (free online book by Hironobu Suzuki)</t>
  </si>
  <si>
    <t>postgresql.org/docs/current/overview.html</t>
  </si>
  <si>
    <t>Inspect pg_stat_activity while running concurrent queries</t>
  </si>
  <si>
    <t>Why does Postgres use one process per connection instead of threads? | What lives in shared_buffers vs the OS page cache?</t>
  </si>
  <si>
    <t>'The Internals of PostgreSQL' is the single best free deep-dive resource.</t>
  </si>
  <si>
    <t>MVCC</t>
  </si>
  <si>
    <t>Multi-Version Concurrency Control &amp; tuple versions</t>
  </si>
  <si>
    <t>Understand how Postgres allows readers and writers to avoid blocking each other.</t>
  </si>
  <si>
    <t>CMU 15-445 - MVCC lecture</t>
  </si>
  <si>
    <t>'The Internals of PostgreSQL' Ch.5</t>
  </si>
  <si>
    <t>postgresql.org/docs/current/mvcc-intro.html</t>
  </si>
  <si>
    <t>Observe xmin/xmax tuple versioning with a manual transaction experiment</t>
  </si>
  <si>
    <t>How does MVCC avoid read locks blocking writers? | What causes table bloat and how does VACUUM address it?</t>
  </si>
  <si>
    <t>MVCC is one of the most-asked 'explain how your database works' interview topics.</t>
  </si>
  <si>
    <t>WAL</t>
  </si>
  <si>
    <t>Write-Ahead Log &amp; crash recovery</t>
  </si>
  <si>
    <t>Understand how the WAL guarantees durability and enables replication.</t>
  </si>
  <si>
    <t>CMU 15-445 - Logging &amp; Recovery lecture</t>
  </si>
  <si>
    <t>'The Internals of PostgreSQL' Ch.9</t>
  </si>
  <si>
    <t>postgresql.org/docs/current/wal-intro.html</t>
  </si>
  <si>
    <t>Inspect WAL file growth while running write-heavy transactions</t>
  </si>
  <si>
    <t>Why must the log be written before the data page (write-ahead)? | How does WAL enable streaming replication?</t>
  </si>
  <si>
    <t>WAL shipping is literally how Postgres replicas stay in sync.</t>
  </si>
  <si>
    <t>Indexes</t>
  </si>
  <si>
    <t>B-Tree, Hash, GiST, GIN index types</t>
  </si>
  <si>
    <t>Choose the right Postgres index type for a given query pattern.</t>
  </si>
  <si>
    <t>CMU 15-445 - Indexes lecture</t>
  </si>
  <si>
    <t>'The Internals of PostgreSQL' Ch.7</t>
  </si>
  <si>
    <t>postgresql.org/docs/current/indexes-types.html</t>
  </si>
  <si>
    <t>Compare query plans with and without an index using EXPLAIN ANALYZE</t>
  </si>
  <si>
    <t>When would GIN beat a B-Tree index? | Why can an index sometimes make a query slower?</t>
  </si>
  <si>
    <t>EXPLAIN ANALYZE literacy is a hard requirement for this whole sheet.</t>
  </si>
  <si>
    <t>B Trees</t>
  </si>
  <si>
    <t>Balanced tree structure &amp; disk-page fit</t>
  </si>
  <si>
    <t>Understand why B-Trees (not binary trees) are the standard for disk-based indexes.</t>
  </si>
  <si>
    <t>CMU 15-445 - Tree Indexes lecture</t>
  </si>
  <si>
    <t>'Database Internals' Ch.2-4 (Petrov) selected chapters</t>
  </si>
  <si>
    <t>Simulate a B-Tree split-on-insert in Python</t>
  </si>
  <si>
    <t>Why do B-Trees use high fan-out instead of binary branching? | How does a B-Tree minimize disk seeks?</t>
  </si>
  <si>
    <t>The 'why not a binary tree' question is a classic filter question.</t>
  </si>
  <si>
    <t>B+ Trees</t>
  </si>
  <si>
    <t>Leaf-linked B+Trees for range scans</t>
  </si>
  <si>
    <t>Understand how B+Trees optimize range queries via linked leaf nodes.</t>
  </si>
  <si>
    <t>CMU 15-445 - B+Tree lecture</t>
  </si>
  <si>
    <t>'Database Internals' Ch.4</t>
  </si>
  <si>
    <t>Why do B+Trees keep all data in leaves with linked pointers? | How does this specifically speed up range scans (BETWEEN queries)?</t>
  </si>
  <si>
    <t>This is the index structure Postgres actually uses by default.</t>
  </si>
  <si>
    <t>LSM Trees</t>
  </si>
  <si>
    <t>Log-Structured Merge trees &amp; compaction</t>
  </si>
  <si>
    <t>Understand the write-optimized alternative to B-Trees used by many modern stores.</t>
  </si>
  <si>
    <t>CMU 15-445 - LSM Trees lecture</t>
  </si>
  <si>
    <t>'Database Internals' Ch.7</t>
  </si>
  <si>
    <t>Compare write throughput of an LSM-based store vs Postgres for a write-heavy workload</t>
  </si>
  <si>
    <t>Why do LSM trees favor writes while B-Trees favor reads? | What is compaction and why does it matter for read amplification?</t>
  </si>
  <si>
    <t>LSM trees underlie RocksDB, Cassandra, and ClickHouse's MergeTree.</t>
  </si>
  <si>
    <t>Analytical &amp; Vector Stores</t>
  </si>
  <si>
    <t>ClickHouse</t>
  </si>
  <si>
    <t>Columnar storage &amp; vectorized query execution</t>
  </si>
  <si>
    <t>LSM Trees, SQL</t>
  </si>
  <si>
    <t>Understand how column-oriented storage accelerates analytical (OLAP) queries.</t>
  </si>
  <si>
    <t>ClickHouse official - Columnar storage explained</t>
  </si>
  <si>
    <t>ClickHouse official documentation - architecture overview</t>
  </si>
  <si>
    <t>clickhouse.com/docs/en/development/architecture</t>
  </si>
  <si>
    <t>Load a dataset into ClickHouse and compare an aggregate query's speed vs Postgres</t>
  </si>
  <si>
    <t>Why is column storage faster for aggregate queries but slower for row lookups? | What is vectorized query execution?</t>
  </si>
  <si>
    <t>Directly relevant to logging/analytics for ML training pipelines.</t>
  </si>
  <si>
    <t>DuckDB</t>
  </si>
  <si>
    <t>In-process OLAP engine, columnar &amp; vectorized</t>
  </si>
  <si>
    <t>ClickHouse concepts</t>
  </si>
  <si>
    <t>Understand DuckDB's 'SQLite for analytics' embedded-OLAP model.</t>
  </si>
  <si>
    <t>DuckDB official - Why DuckDB talk (CIDR/VLDB)</t>
  </si>
  <si>
    <t>duckdb.org official documentation</t>
  </si>
  <si>
    <t>duckdb.org/docs/</t>
  </si>
  <si>
    <t>Query a large local Parquet file directly with DuckDB, no server needed</t>
  </si>
  <si>
    <t>Build a local analytics notebook using DuckDB over your training logs</t>
  </si>
  <si>
    <t>Why is DuckDB well-suited to ad-hoc analysis of large local Parquet/CSV files? | How does DuckDB compare to Pandas for large datasets?</t>
  </si>
  <si>
    <t>Great, low-friction tool for exploring large experiment-log datasets.</t>
  </si>
  <si>
    <t>Vector Databases</t>
  </si>
  <si>
    <t>ANN indexes: HNSW, IVF, product quantization</t>
  </si>
  <si>
    <t>Linear Algebra, Embeddings</t>
  </si>
  <si>
    <t>Understand the approximate-nearest-neighbor algorithms vector DBs are built on.</t>
  </si>
  <si>
    <t>Pinecone - Vector Database 101 (official learning series)</t>
  </si>
  <si>
    <t>Pinecone Learning Center - HNSW explained</t>
  </si>
  <si>
    <t>pinecone.io/learn/series/faiss/hnsw/</t>
  </si>
  <si>
    <t>Build an HNSW index with faiss and benchmark recall vs brute-force search</t>
  </si>
  <si>
    <t>Build a small RAG retrieval layer comparing HNSW vs IVF-PQ tradeoffs</t>
  </si>
  <si>
    <t>Why does HNSW trade some recall for massive speedups over brute force? | What does product quantization compress and at what cost?</t>
  </si>
  <si>
    <t>Directly relevant to your existing RAG work.</t>
  </si>
  <si>
    <t>Query Optimizer</t>
  </si>
  <si>
    <t>Cost-based optimization &amp; query plans</t>
  </si>
  <si>
    <t>Indexes, B+ Trees</t>
  </si>
  <si>
    <t>Understand how a query planner chooses among possible execution strategies.</t>
  </si>
  <si>
    <t>CMU 15-445 - Query Optimization lecture</t>
  </si>
  <si>
    <t>'Database Internals' Ch.9 (Petrov)</t>
  </si>
  <si>
    <t>postgresql.org/docs/current/planner-optimizer.html</t>
  </si>
  <si>
    <t>Force different query plans with pg hints and compare EXPLAIN ANALYZE costs</t>
  </si>
  <si>
    <t>How does a cost-based optimizer estimate row counts (selectivity)? | Why can outdated statistics cause a bad query plan?</t>
  </si>
  <si>
    <t>Reading EXPLAIN ANALYZE output fluently is a strong interview signal.</t>
  </si>
  <si>
    <t>Transactions, Replication &amp; Caching</t>
  </si>
  <si>
    <t>Transactions</t>
  </si>
  <si>
    <t>ACID guarantees &amp; the transaction log</t>
  </si>
  <si>
    <t>MVCC, WAL</t>
  </si>
  <si>
    <t>Understand what each ACID guarantee actually protects against.</t>
  </si>
  <si>
    <t>CMU 15-445 - Transactions lecture</t>
  </si>
  <si>
    <t>'Designing Data-Intensive Applications' Ch.7 (Kleppmann) - widely available lecture notes</t>
  </si>
  <si>
    <t>postgresql.org/docs/current/tutorial-transactions.html</t>
  </si>
  <si>
    <t>Reproduce a lost-update anomaly without proper isolation</t>
  </si>
  <si>
    <t>What specific anomaly does each isolation level prevent? | Why is 'atomicity' about all-or-nothing, not concurrency?</t>
  </si>
  <si>
    <t>Kleppmann's DDIA is widely considered the best conceptual resource here.</t>
  </si>
  <si>
    <t>Isolation Levels</t>
  </si>
  <si>
    <t>Read Committed, Repeatable Read, Serializable</t>
  </si>
  <si>
    <t>Understand the concrete anomalies (dirty read, phantom read) each isolation level prevents.</t>
  </si>
  <si>
    <t>CMU 15-445 - Isolation Levels lecture</t>
  </si>
  <si>
    <t>DDIA Ch.7.2 (Kleppmann)</t>
  </si>
  <si>
    <t>postgresql.org/docs/current/transaction-iso.html</t>
  </si>
  <si>
    <t>Reproduce a phantom read under Read Committed and fix it with Serializable</t>
  </si>
  <si>
    <t>What's a phantom read and which isolation level prevents it? | Why does higher isolation cost more throughput?</t>
  </si>
  <si>
    <t>Postgres's default is Read Committed, not Serializable — a common surprise.</t>
  </si>
  <si>
    <t>Replication</t>
  </si>
  <si>
    <t>Streaming replication, synchronous vs async</t>
  </si>
  <si>
    <t>Understand the durability/latency tradeoff between sync and async replication.</t>
  </si>
  <si>
    <t>CMU 15-445 - Replication lecture</t>
  </si>
  <si>
    <t>DDIA Ch.5 (Kleppmann)</t>
  </si>
  <si>
    <t>postgresql.org/docs/current/warm-standby.html</t>
  </si>
  <si>
    <t>Set up Postgres streaming replication between two local instances</t>
  </si>
  <si>
    <t>What durability guarantee do you lose with async replication? | How does synchronous replication affect write latency?</t>
  </si>
  <si>
    <t>Directly relevant to designing HA data stores for production ML systems.</t>
  </si>
  <si>
    <t>Sharding</t>
  </si>
  <si>
    <t>Horizontal partitioning strategies &amp; shard keys</t>
  </si>
  <si>
    <t>Choose shard keys that avoid hot spots and support your query patterns.</t>
  </si>
  <si>
    <t>CMU 15-445 - Sharding/Partitioning lecture</t>
  </si>
  <si>
    <t>DDIA Ch.6 (Kleppmann)</t>
  </si>
  <si>
    <t>Design a shard-key strategy for a hypothetical multi-tenant workload</t>
  </si>
  <si>
    <t>What makes a shard key 'bad' (causing hot spots)? | How do you handle cross-shard joins/transactions?</t>
  </si>
  <si>
    <t>Common senior system-design question: 'how would you shard this table'.</t>
  </si>
  <si>
    <t>Partitioning</t>
  </si>
  <si>
    <t>Range/list/hash table partitioning within one DB</t>
  </si>
  <si>
    <t>Understand single-node partitioning as distinct from cross-node sharding.</t>
  </si>
  <si>
    <t>CMU 15-445 - Partitioning lecture</t>
  </si>
  <si>
    <t>postgresql.org official partitioning docs</t>
  </si>
  <si>
    <t>postgresql.org/docs/current/ddl-partitioning.html</t>
  </si>
  <si>
    <t>Partition a large table by date range in Postgres and compare query performance</t>
  </si>
  <si>
    <t>When does partition pruning help query performance? | How is partitioning different from sharding?</t>
  </si>
  <si>
    <t>Partitioning is a single-node optimization; sharding is a distributed one — a common conflation to clear up.</t>
  </si>
  <si>
    <t>Caching</t>
  </si>
  <si>
    <t>Cache-aside, write-through, TTL &amp; invalidation</t>
  </si>
  <si>
    <t>Redis fundamentals</t>
  </si>
  <si>
    <t>Choose the right caching strategy and understand its consistency tradeoffs.</t>
  </si>
  <si>
    <t>System Design Interview - Caching Strategies (conceptual talk)</t>
  </si>
  <si>
    <t>'Designing Data-Intensive Applications' Ch.3 (cache-adjacent sections)</t>
  </si>
  <si>
    <t>redis.io/docs/manual/</t>
  </si>
  <si>
    <t>Implement cache-aside with Redis in front of a slow DB query</t>
  </si>
  <si>
    <t>Add write-through caching with TTL-based invalidation to an existing API</t>
  </si>
  <si>
    <t>What's the tradeoff between cache-aside and write-through? | How do you avoid cache stampede on a popular key's expiry?</t>
  </si>
  <si>
    <t>Directly usable given your existing Redis experience.</t>
  </si>
  <si>
    <t>Linear algebra, probability/information theory, and optimization underlying ML theory and practice.</t>
  </si>
  <si>
    <t>Linear Algebra</t>
  </si>
  <si>
    <t>Vector spaces, basis, rank</t>
  </si>
  <si>
    <t>High-school algebra</t>
  </si>
  <si>
    <t>Build geometric intuition for vector spaces before the matrix-calculus content below.</t>
  </si>
  <si>
    <t>3Blue1Brown - Essence of Linear Algebra (full playlist)</t>
  </si>
  <si>
    <t>MIT 18.06 Linear Algebra (Gilbert Strang, free OCW)</t>
  </si>
  <si>
    <t>Implement Gram-Schmidt orthogonalization from scratch in NumPy</t>
  </si>
  <si>
    <t>What does the rank of a matrix tell you geometrically? | Why does a basis need to be linearly independent?</t>
  </si>
  <si>
    <t>3Blue1Brown's playlist is the best geometric-intuition resource that exists for this topic.</t>
  </si>
  <si>
    <t>Matrix Calculus</t>
  </si>
  <si>
    <t>Gradients of matrix/vector expressions</t>
  </si>
  <si>
    <t>Linear Algebra, Calculus</t>
  </si>
  <si>
    <t>Differentiate scalar functions of vectors/matrices — the backbone of backprop.</t>
  </si>
  <si>
    <t>3Blue1Brown adjacent - Matrix Calculus for Deep Learning (freeCodeCamp)</t>
  </si>
  <si>
    <t>'The Matrix Calculus You Need for Deep Learning' (Parr &amp; Howard, free paper)</t>
  </si>
  <si>
    <t>Derive and verify the gradient of a linear layer (Wx+b) by hand and against autograd</t>
  </si>
  <si>
    <t>How do you derive the gradient of a matrix-vector product w.r.t. the matrix? | Why does the chain rule generalize to Jacobians for vector functions?</t>
  </si>
  <si>
    <t>The Parr &amp; Howard paper is written specifically for ML practitioners.</t>
  </si>
  <si>
    <t>Eigenvalues</t>
  </si>
  <si>
    <t>Eigendecomposition &amp; spectral theorem</t>
  </si>
  <si>
    <t>Understand eigenvectors as directions a linear map only scales, not rotates.</t>
  </si>
  <si>
    <t>3Blue1Brown - Eigenvectors and Eigenvalues</t>
  </si>
  <si>
    <t>MIT 18.06 Lecture 21-22 (Strang, free OCW)</t>
  </si>
  <si>
    <t>Compute eigenvalues/eigenvectors of a covariance matrix and verify with NumPy</t>
  </si>
  <si>
    <t>Why are eigenvectors of a symmetric matrix always orthogonal? | What does a negative eigenvalue mean geometrically?</t>
  </si>
  <si>
    <t>Foundation for PCA and understanding Hessian curvature.</t>
  </si>
  <si>
    <t>Eigenvectors</t>
  </si>
  <si>
    <t>Diagonalization &amp; powers of a matrix</t>
  </si>
  <si>
    <t>Use eigendecomposition to compute matrix powers and understand stability.</t>
  </si>
  <si>
    <t>3Blue1Brown - Eigenvectors follow-up</t>
  </si>
  <si>
    <t>MIT 18.06 Lecture 22 (Strang)</t>
  </si>
  <si>
    <t>Compute A^100 via eigendecomposition instead of repeated multiplication</t>
  </si>
  <si>
    <t>Why does diagonalization make computing A^n trivial? | What does it mean for a matrix to not be diagonalizable?</t>
  </si>
  <si>
    <t>Directly relevant to understanding RNN gradient explosion/vanishing via repeated matrix multiplication.</t>
  </si>
  <si>
    <t>SVD</t>
  </si>
  <si>
    <t>Singular Value Decomposition &amp; low-rank approximation</t>
  </si>
  <si>
    <t>Understand SVD as the generalization of eigendecomposition to any matrix.</t>
  </si>
  <si>
    <t>3Blue1Brown adjacent - SVD Visualized (Steve Brunton, free)</t>
  </si>
  <si>
    <t>MIT 18.06 Lecture 29-30 (Strang, free OCW)</t>
  </si>
  <si>
    <t>Compress an image using truncated SVD and measure quality vs rank</t>
  </si>
  <si>
    <t>Build a low-rank recommender system using SVD</t>
  </si>
  <si>
    <t>Why does truncating singular values give the best low-rank approximation (Eckart-Young theorem)? | How does SVD relate to PCA?</t>
  </si>
  <si>
    <t>SVD is the mathematical core of LoRA — directly relevant to LLM fine-tuning.</t>
  </si>
  <si>
    <t>PCA</t>
  </si>
  <si>
    <t>Principal Component Analysis via covariance eigendecomposition</t>
  </si>
  <si>
    <t>SVD, Eigenvalues, Statistics</t>
  </si>
  <si>
    <t>Understand PCA as finding the directions of maximum variance in data.</t>
  </si>
  <si>
    <t>StatQuest - PCA Step-by-Step</t>
  </si>
  <si>
    <t>'Elements of Statistical Learning' Ch.14.5 (free PDF, Hastie/Tibshirani/Friedman)</t>
  </si>
  <si>
    <t>scikit-learn.org/stable/modules/decomposition.html#pca</t>
  </si>
  <si>
    <t>Implement PCA from scratch via eigendecomposition of the covariance matrix</t>
  </si>
  <si>
    <t>Visualize high-dimensional embeddings in 2D with PCA vs t-SNE</t>
  </si>
  <si>
    <t>Why does PCA maximize variance rather than minimize reconstruction error (they're equivalent, but why?) | How do you choose the number of components to keep?</t>
  </si>
  <si>
    <t>StatQuest's visual explanations are unusually good for building fast intuition.</t>
  </si>
  <si>
    <t>Probability, Statistics &amp; Information Theory</t>
  </si>
  <si>
    <t>Probability</t>
  </si>
  <si>
    <t>Random variables, joint/marginal/conditional distributions</t>
  </si>
  <si>
    <t>High-school math</t>
  </si>
  <si>
    <t>Build fluency manipulating joint, marginal, and conditional distributions.</t>
  </si>
  <si>
    <t>Harvard Stat 110 - Joe Blitzstein (free full course)</t>
  </si>
  <si>
    <t>'Introduction to Probability' (Blitzstein &amp; Hwang, free companion)</t>
  </si>
  <si>
    <t>Simulate and verify the law of total probability with Monte Carlo sampling</t>
  </si>
  <si>
    <t>How does the law of total probability decompose a marginal? | What's the difference between independence and conditional independence?</t>
  </si>
  <si>
    <t>Stat 110 is widely regarded as the best free probability course available.</t>
  </si>
  <si>
    <t>Bayes</t>
  </si>
  <si>
    <t>Bayes' theorem, priors, posteriors, conjugate priors</t>
  </si>
  <si>
    <t>Reason correctly about updating beliefs given new evidence.</t>
  </si>
  <si>
    <t>3Blue1Brown - Bayes theorem visualized</t>
  </si>
  <si>
    <t>Harvard Stat 110 - Bayes lectures (Blitzstein)</t>
  </si>
  <si>
    <t>Implement Bayesian updating for a Beta-Binomial conjugate pair</t>
  </si>
  <si>
    <t>Why do conjugate priors make posterior updates closed-form? | What's the difference between a frequentist and Bayesian interpretation of probability?</t>
  </si>
  <si>
    <t>Directly underlies reward-model calibration discussions in RLHF.</t>
  </si>
  <si>
    <t>Information Theory</t>
  </si>
  <si>
    <t>Entropy, cross-entropy, KL divergence</t>
  </si>
  <si>
    <t>Understand entropy as a measure of uncertainty and how loss functions relate to it.</t>
  </si>
  <si>
    <t>3Blue1Brown - But what is entropy? (via Art of the Problem, widely referenced)</t>
  </si>
  <si>
    <t>'Elements of Information Theory' Ch.2 (Cover &amp; Thomas) - lecture-note equivalents free online</t>
  </si>
  <si>
    <t>Compute entropy/cross-entropy/KL for two toy distributions and verify relationships</t>
  </si>
  <si>
    <t>Why is cross-entropy loss equivalent to minimizing KL divergence to the true distribution? | Why is KL divergence not symmetric?</t>
  </si>
  <si>
    <t>This is the mathematical backbone of essentially every LLM training loss function.</t>
  </si>
  <si>
    <t>Entropy</t>
  </si>
  <si>
    <t>Shannon entropy &amp; its properties</t>
  </si>
  <si>
    <t>Build intuition for entropy as expected 'surprise' / minimum encoding length.</t>
  </si>
  <si>
    <t>Khan Academy adjacent - Information theory basics (Art of the Problem)</t>
  </si>
  <si>
    <t>'Elements of Information Theory' Ch.2.1 (Cover &amp; Thomas)</t>
  </si>
  <si>
    <t>Why is entropy maximized by a uniform distribution? | What is entropy's connection to optimal compression (Shannon's source coding theorem)?</t>
  </si>
  <si>
    <t>Directly connects to why a well-calibrated model has lower predictive entropy.</t>
  </si>
  <si>
    <t>Cross Entropy</t>
  </si>
  <si>
    <t>Cross-entropy as a loss function</t>
  </si>
  <si>
    <t>Understand why cross-entropy is the standard classification/LM loss.</t>
  </si>
  <si>
    <t>StatQuest - Cross Entropy Clearly Explained</t>
  </si>
  <si>
    <t>'Deep Learning' book Ch.5.5 (Goodfellow, Bengio, Courville - free online)</t>
  </si>
  <si>
    <t>pytorch.org/docs/stable/generated/torch.nn.CrossEntropyLoss.html</t>
  </si>
  <si>
    <t>Implement cross-entropy loss from scratch and verify against PyTorch's</t>
  </si>
  <si>
    <t>Why is cross-entropy loss convex for logistic regression but not for deep nets? | How does label smoothing modify the cross-entropy target?</t>
  </si>
  <si>
    <t>The loss function every LLM pretraining run directly optimizes.</t>
  </si>
  <si>
    <t>KL Divergence</t>
  </si>
  <si>
    <t>Forward vs reverse KL, mode-seeking vs mode-covering</t>
  </si>
  <si>
    <t>Understand the asymmetry of KL divergence and its practical consequences.</t>
  </si>
  <si>
    <t>StatQuest - KL Divergence Clearly Explained</t>
  </si>
  <si>
    <t>'Pattern Recognition and ML' Ch.10.1 (Bishop, free PDF)</t>
  </si>
  <si>
    <t>Visualize forward vs reverse KL fitting a unimodal Gaussian to a bimodal target</t>
  </si>
  <si>
    <t>Why does reverse KL tend to be mode-seeking? | Where does KL divergence appear directly in the DPO/RLHF objective?</t>
  </si>
  <si>
    <t>The KL penalty term is central to both RLHF and DPO objectives.</t>
  </si>
  <si>
    <t>Jensen Shannon</t>
  </si>
  <si>
    <t>Symmetric, bounded divergence measure</t>
  </si>
  <si>
    <t>Understand JS divergence as a symmetrized, smoothed alternative to KL.</t>
  </si>
  <si>
    <t>StatQuest adjacent - Jensen-Shannon Divergence explained</t>
  </si>
  <si>
    <t>'Elements of Information Theory' Ch.2 (Cover &amp; Thomas, JSD extensions)</t>
  </si>
  <si>
    <t>Compute JS divergence between two toy distributions and compare to KL</t>
  </si>
  <si>
    <t>Why is JS divergence always finite while KL can be infinite? | Where does JSD show up in GAN training objectives?</t>
  </si>
  <si>
    <t>Originally famous from the GAN paper's theoretical analysis.</t>
  </si>
  <si>
    <t>Statistics</t>
  </si>
  <si>
    <t>Hypothesis testing, confidence intervals, p-values</t>
  </si>
  <si>
    <t>Correctly interpret statistical significance when evaluating model results.</t>
  </si>
  <si>
    <t>StatQuest - Hypothesis Testing playlist</t>
  </si>
  <si>
    <t>Harvard Stat 110/111 (Blitzstein, free OCW-equivalent)</t>
  </si>
  <si>
    <t>Run a proper significance test comparing two model variants' accuracy</t>
  </si>
  <si>
    <t>Why does a p-value not tell you the probability the null hypothesis is true? | How do you correctly size a confidence interval for an eval metric?</t>
  </si>
  <si>
    <t>Directly relevant to correctly interpreting A/B eval results, not just believing a headline number.</t>
  </si>
  <si>
    <t>Optimization &amp; Automatic Differentiation</t>
  </si>
  <si>
    <t>Convexity, local vs global minima</t>
  </si>
  <si>
    <t>Calculus</t>
  </si>
  <si>
    <t>Understand what convexity guarantees (and why deep nets don't have it).</t>
  </si>
  <si>
    <t>Stanford EE364A - Convex Optimization (Boyd, free full course)</t>
  </si>
  <si>
    <t>'Convex Optimization' (Boyd &amp; Vandenberghe, free PDF)</t>
  </si>
  <si>
    <t>Visualize a non-convex loss landscape with multiple local minima in 2D</t>
  </si>
  <si>
    <t>Why doesn't losing convexity guarantees stop deep nets from training well in practice? | What is a saddle point and why is it more common than local minima in high dimensions?</t>
  </si>
  <si>
    <t>Boyd's book/course is the canonical free resource for convex optimization.</t>
  </si>
  <si>
    <t>Gradient Descent</t>
  </si>
  <si>
    <t>Batch, stochastic, mini-batch variants</t>
  </si>
  <si>
    <t>Optimization, Matrix Calculus</t>
  </si>
  <si>
    <t>Understand the bias-variance-speed tradeoffs across gradient descent variants.</t>
  </si>
  <si>
    <t>3Blue1Brown - Gradient Descent, how neural networks learn</t>
  </si>
  <si>
    <t>'Deep Learning' book Ch.8.1-8.3 (Goodfellow et al, free)</t>
  </si>
  <si>
    <t>pytorch.org/docs/stable/optim.html</t>
  </si>
  <si>
    <t>Implement mini-batch SGD from scratch and compare convergence to full-batch GD</t>
  </si>
  <si>
    <t>Why does mini-batch SGD often generalize better than full-batch gradient descent? | How does learning rate interact with batch size?</t>
  </si>
  <si>
    <t>Foundation before Adam and other adaptive optimizers below.</t>
  </si>
  <si>
    <t>Adam</t>
  </si>
  <si>
    <t>Adaptive moment estimation, bias correction</t>
  </si>
  <si>
    <t>Understand how Adam combines momentum and per-parameter adaptive learning rates.</t>
  </si>
  <si>
    <t>Yannic Kilcher - Adam Optimizer paper walkthrough</t>
  </si>
  <si>
    <t>Original Adam paper (Kingma &amp; Ba, arXiv, free)</t>
  </si>
  <si>
    <t>pytorch.org/docs/stable/generated/torch.optim.Adam.html</t>
  </si>
  <si>
    <t>Implement Adam from scratch and verify convergence matches PyTorch's Adam</t>
  </si>
  <si>
    <t>What problem does Adam's bias-correction term solve in early training steps? | Why can Adam generalize worse than SGD+momentum on some tasks?</t>
  </si>
  <si>
    <t>AdamW (decoupled weight decay) is the actual default for most LLM pretraining.</t>
  </si>
  <si>
    <t>Convex Optimization</t>
  </si>
  <si>
    <t>Duality, KKT conditions</t>
  </si>
  <si>
    <t>Understand constrained optimization via Lagrangian duality.</t>
  </si>
  <si>
    <t>Stanford EE364A - Duality lecture (Boyd, free)</t>
  </si>
  <si>
    <t>'Convex Optimization' Ch.5 (Boyd &amp; Vandenberghe, free PDF)</t>
  </si>
  <si>
    <t>Solve a small constrained optimization problem using KKT conditions by hand</t>
  </si>
  <si>
    <t>What do the KKT conditions generalize from unconstrained calculus? | Why does strong duality not always hold?</t>
  </si>
  <si>
    <t>More research-engineer-relevant than day-to-day LLM engineering, but common in advanced-role interviews.</t>
  </si>
  <si>
    <t>Automatic Differentiation</t>
  </si>
  <si>
    <t>Forward mode vs reverse mode autodiff</t>
  </si>
  <si>
    <t>Understand how autograd computes exact gradients via computational graphs.</t>
  </si>
  <si>
    <t>MIT 18.S096 adjacent - Autodiff lecture (Alan Edelman, free)</t>
  </si>
  <si>
    <t>'Automatic Differentiation in Machine Learning: a Survey' (Baydin et al, free arXiv paper)</t>
  </si>
  <si>
    <t>pytorch.org/docs/stable/notes/autograd.html</t>
  </si>
  <si>
    <t>Implement reverse-mode autodiff for a small scalar expression graph from scratch</t>
  </si>
  <si>
    <t>Build a minimal autograd engine (Karpathy's micrograd style) from scratch</t>
  </si>
  <si>
    <t>Why is reverse mode preferred for functions with many inputs and one output (like neural net loss)? | How does forward mode differ in when it's more efficient?</t>
  </si>
  <si>
    <t>Karpathy's 'micrograd' project is the single best hands-on way to internalize this.</t>
  </si>
  <si>
    <t>Jacobians</t>
  </si>
  <si>
    <t>Jacobian matrices for vector-valued functions</t>
  </si>
  <si>
    <t>Generalize the gradient to vector-valued (not just scalar-valued) functions.</t>
  </si>
  <si>
    <t>3Blue1Brown adjacent - Jacobians for deep learning (Parr &amp; Howard talk)</t>
  </si>
  <si>
    <t>'The Matrix Calculus You Need for Deep Learning' Sec.4 (Parr &amp; Howard)</t>
  </si>
  <si>
    <t>pytorch.org/docs/stable/generated/torch.autograd.functional.jacobian.html</t>
  </si>
  <si>
    <t>Compute the Jacobian of a small 2-layer MLP with torch.autograd.functional.jacobian</t>
  </si>
  <si>
    <t>Why is the Jacobian needed (not just a gradient) for a vector-valued layer output? | How does the chain rule compose Jacobians across layers?</t>
  </si>
  <si>
    <t>This is literally what backprop computes and multiplies layer by layer.</t>
  </si>
  <si>
    <t>Hessians</t>
  </si>
  <si>
    <t>Second-order curvature &amp; Newton's method</t>
  </si>
  <si>
    <t>Jacobians, Gradient Descent</t>
  </si>
  <si>
    <t>Understand second-order optimization and why it's rarely used directly at LLM scale.</t>
  </si>
  <si>
    <t>Stanford EE364A adjacent - Newton's Method lecture (Boyd)</t>
  </si>
  <si>
    <t>'Convex Optimization' Ch.9.5 (Boyd &amp; Vandenberghe)</t>
  </si>
  <si>
    <t>Compare Newton's method vs gradient descent convergence speed on a small convex problem</t>
  </si>
  <si>
    <t>Why is computing/inverting the Hessian intractable at LLM parameter scale? | What do second-order approximations like K-FAC try to approximate cheaply?</t>
  </si>
  <si>
    <t>Explains why Adam (a first-order method with adaptive scaling) is the practical default.</t>
  </si>
  <si>
    <t>Learning theory, tree ensembles, and evaluation/interpretability beyond deep learning.</t>
  </si>
  <si>
    <t>Sheet Progress  —  16 topics total</t>
  </si>
  <si>
    <t>Learning Theory &amp; Estimation</t>
  </si>
  <si>
    <t>Bias Variance</t>
  </si>
  <si>
    <t>Bias-variance decomposition of test error</t>
  </si>
  <si>
    <t>Decompose generalization error into bias, variance, and irreducible noise.</t>
  </si>
  <si>
    <t>StatQuest - Bias and Variance Clearly Explained</t>
  </si>
  <si>
    <t>'Elements of Statistical Learning' Ch.7.3 (free PDF, Hastie et al)</t>
  </si>
  <si>
    <t>scikit-learn.org/stable/modules/learning_curve.html</t>
  </si>
  <si>
    <t>Plot a learning curve showing bias-dominated vs variance-dominated regimes</t>
  </si>
  <si>
    <t>Why can't you minimize bias and variance simultaneously without more data/capacity tradeoffs? | How does regularization shift the bias-variance tradeoff?</t>
  </si>
  <si>
    <t>Foundation for reasoning about under/overfitting rigorously instead of by vibes.</t>
  </si>
  <si>
    <t>PAC Learning</t>
  </si>
  <si>
    <t>Probably Approximately Correct learning framework</t>
  </si>
  <si>
    <t>Understand the formal framework for what 'learnable with finite samples' means.</t>
  </si>
  <si>
    <t>Caltech CS156 - Learning From Data (Abu-Mostafa, free full course)</t>
  </si>
  <si>
    <t>'Understanding Machine Learning' Ch.2-3 (Shalev-Shwartz &amp; Ben-David, free PDF)</t>
  </si>
  <si>
    <t>What does 'probably approximately correct' formally guarantee? | How does sample complexity scale with hypothesis class size?</t>
  </si>
  <si>
    <t>Caltech's CS156 is the best free course for rigorous learning theory.</t>
  </si>
  <si>
    <t>VC Dimension</t>
  </si>
  <si>
    <t>Vapnik-Chervonenkis dimension &amp; model capacity</t>
  </si>
  <si>
    <t>Measure a hypothesis class's capacity to shatter data points.</t>
  </si>
  <si>
    <t>Caltech CS156 - VC Dimension lecture (Abu-Mostafa)</t>
  </si>
  <si>
    <t>'Understanding Machine Learning' Ch.6 (Shalev-Shwartz &amp; Ben-David, free PDF)</t>
  </si>
  <si>
    <t>Compute the VC dimension of simple hypothesis classes (e.g. axis-aligned rectangles)</t>
  </si>
  <si>
    <t>Why does VC dimension bound generalization error independent of the true distribution? | How does VC dimension relate to the number of parameters in a model?</t>
  </si>
  <si>
    <t>Classic theory question at research-focused labs; less common at pure product roles.</t>
  </si>
  <si>
    <t>Maximum Likelihood</t>
  </si>
  <si>
    <t>MLE as the standard parameter-estimation principle</t>
  </si>
  <si>
    <t>Probability, Statistics</t>
  </si>
  <si>
    <t>Understand MLE as choosing parameters that make observed data most probable.</t>
  </si>
  <si>
    <t>StatQuest - Maximum Likelihood Clearly Explained</t>
  </si>
  <si>
    <t>'Deep Learning' book Ch.5.5 (Goodfellow et al, free)</t>
  </si>
  <si>
    <t>Derive the MLE solution for a Gaussian's mean/variance by hand</t>
  </si>
  <si>
    <t>Why is minimizing cross-entropy loss equivalent to maximizing likelihood under a categorical model? | When is MLE biased (e.g. variance estimation)?</t>
  </si>
  <si>
    <t>This is precisely the framing behind 'next-token prediction' pretraining objectives.</t>
  </si>
  <si>
    <t>EM Algorithm</t>
  </si>
  <si>
    <t>Expectation-Maximization for latent variable models</t>
  </si>
  <si>
    <t>Maximum Likelihood, Bayes</t>
  </si>
  <si>
    <t>Understand how EM iteratively estimates parameters when data has latent structure.</t>
  </si>
  <si>
    <t>StatQuest - EM Algorithm Clearly Explained</t>
  </si>
  <si>
    <t>'Pattern Recognition and ML' Ch.9 (Bishop, free PDF)</t>
  </si>
  <si>
    <t>Implement EM for a Gaussian Mixture Model from scratch</t>
  </si>
  <si>
    <t>Fit a GMM to a real clustering dataset and compare to k-means</t>
  </si>
  <si>
    <t>Why is EM guaranteed to never decrease the likelihood at each step? | How does EM relate to k-means as a special case?</t>
  </si>
  <si>
    <t>Less used directly in LLM work but a recurring theoretical-foundations interview topic.</t>
  </si>
  <si>
    <t>Tree-Based Models &amp; Ensembles</t>
  </si>
  <si>
    <t>Decision Trees</t>
  </si>
  <si>
    <t>Splitting criteria: Gini, entropy, information gain</t>
  </si>
  <si>
    <t>Understand how a decision tree greedily selects splits.</t>
  </si>
  <si>
    <t>StatQuest - Decision Trees Clearly Explained</t>
  </si>
  <si>
    <t>'Elements of Statistical Learning' Ch.9.2 (free PDF)</t>
  </si>
  <si>
    <t>scikit-learn.org/stable/modules/tree.html</t>
  </si>
  <si>
    <t>Implement a CART decision tree from scratch with Gini impurity splitting</t>
  </si>
  <si>
    <t>Why does greedy splitting not guarantee a globally optimal tree? | What's the difference between Gini impurity and entropy as split criteria?</t>
  </si>
  <si>
    <t>StatQuest builds excellent intuition before touching the math formally.</t>
  </si>
  <si>
    <t>Random Forest</t>
  </si>
  <si>
    <t>Bagging &amp; feature subsampling for variance reduction</t>
  </si>
  <si>
    <t>Understand how bagging + random feature subsets reduce a tree ensemble's variance.</t>
  </si>
  <si>
    <t>StatQuest - Random Forests Clearly Explained</t>
  </si>
  <si>
    <t>Breiman's original Random Forests paper (free, Machine Learning journal archive)</t>
  </si>
  <si>
    <t>scikit-learn.org/stable/modules/ensemble.html#forest</t>
  </si>
  <si>
    <t>Compare a single decision tree's variance to a random forest's on noisy data</t>
  </si>
  <si>
    <t>Why does bagging reduce variance but not bias? | Why does Random Forest also randomize feature subsets, not just bootstrap samples?</t>
  </si>
  <si>
    <t>Good baseline model to reach for before defaulting to gradient boosting.</t>
  </si>
  <si>
    <t>XGBoost Internals</t>
  </si>
  <si>
    <t>Gradient boosting, second-order Taylor approximation</t>
  </si>
  <si>
    <t>Decision Trees, Matrix Calculus</t>
  </si>
  <si>
    <t>Understand how XGBoost fits trees to the gradient AND curvature of the loss.</t>
  </si>
  <si>
    <t>StatQuest - Gradient Boost &amp; XGBoost playlist</t>
  </si>
  <si>
    <t>Original XGBoost paper (Chen &amp; Guestrin, free arXiv)</t>
  </si>
  <si>
    <t>xgboost.readthedocs.io/en/stable/tutorials/model.html</t>
  </si>
  <si>
    <t>Train XGBoost on a tabular dataset and inspect feature importances vs SHAP values</t>
  </si>
  <si>
    <t>Build an end-to-end tabular pipeline: feature engineering + XGBoost + calibration</t>
  </si>
  <si>
    <t>Why does XGBoost use a second-order (Newton-like) approximation instead of just gradients? | How does XGBoost's regularization term penalize tree complexity?</t>
  </si>
  <si>
    <t>Still the strongest baseline for most tabular data problems in industry.</t>
  </si>
  <si>
    <t>LightGBM</t>
  </si>
  <si>
    <t>Leaf-wise growth &amp; histogram-based splitting</t>
  </si>
  <si>
    <t>Understand LightGBM's speed advantages over XGBoost at scale.</t>
  </si>
  <si>
    <t>LightGBM official talk/paper walkthrough</t>
  </si>
  <si>
    <t>Original LightGBM paper (Ke et al, free NeurIPS paper)</t>
  </si>
  <si>
    <t>lightgbm.readthedocs.io/en/latest/Features.html</t>
  </si>
  <si>
    <t>Benchmark LightGBM vs XGBoost training time on a large tabular dataset</t>
  </si>
  <si>
    <t>Why does leaf-wise growth converge faster but risk overfitting more than level-wise? | How does histogram-based splitting speed up training?</t>
  </si>
  <si>
    <t>Preferred over XGBoost when training speed on large tabular data matters most.</t>
  </si>
  <si>
    <t>CatBoost</t>
  </si>
  <si>
    <t>Ordered boosting &amp; native categorical handling</t>
  </si>
  <si>
    <t>Understand how CatBoost avoids target leakage from naive categorical encoding.</t>
  </si>
  <si>
    <t>CatBoost official - How CatBoost works (official talk)</t>
  </si>
  <si>
    <t>Original CatBoost paper (Prokhorenkova et al, free NeurIPS paper)</t>
  </si>
  <si>
    <t>catboost.ai/docs/concepts/algorithm-main-stages.html</t>
  </si>
  <si>
    <t>Compare CatBoost's native categorical handling to one-hot encoding + XGBoost</t>
  </si>
  <si>
    <t>What is target leakage in naive categorical target-encoding and how does ordered boosting avoid it? | When would you reach for CatBoost over XGBoost?</t>
  </si>
  <si>
    <t>Best default when your tabular data has many high-cardinality categorical features.</t>
  </si>
  <si>
    <t>Evaluation, Features &amp; Interpretability</t>
  </si>
  <si>
    <t>Calibration</t>
  </si>
  <si>
    <t>Reliability diagrams, Platt scaling, temperature scaling</t>
  </si>
  <si>
    <t>Probability, Cross Entropy</t>
  </si>
  <si>
    <t>Ensure a model's predicted probabilities match real-world frequencies.</t>
  </si>
  <si>
    <t>Google - Model Calibration explained (official ML crash course)</t>
  </si>
  <si>
    <t>'On Calibration of Modern Neural Networks' (Guo et al, free arXiv)</t>
  </si>
  <si>
    <t>scikit-learn.org/stable/modules/calibration.html</t>
  </si>
  <si>
    <t>Plot a reliability diagram for an overconfident classifier and fix it with temperature scaling</t>
  </si>
  <si>
    <t>Why do modern deep nets tend to be overconfident despite high accuracy? | How does temperature scaling recalibrate softmax outputs cheaply?</t>
  </si>
  <si>
    <t>Directly relevant to LLM confidence/uncertainty and reward-model calibration.</t>
  </si>
  <si>
    <t>Metrics</t>
  </si>
  <si>
    <t>Precision/recall/F1, ROC-AUC, PR-AUC tradeoffs</t>
  </si>
  <si>
    <t>Choose the right metric for imbalanced or asymmetric-cost problems.</t>
  </si>
  <si>
    <t>StatQuest - ROC and AUC Clearly Explained</t>
  </si>
  <si>
    <t>'Elements of Statistical Learning' Ch.9.2.5 (free PDF)</t>
  </si>
  <si>
    <t>scikit-learn.org/stable/modules/model_evaluation.html</t>
  </si>
  <si>
    <t>Compute and compare ROC-AUC vs PR-AUC on a highly imbalanced dataset</t>
  </si>
  <si>
    <t>Why is PR-AUC often more informative than ROC-AUC on imbalanced data? | What does an F1 score hide that precision and recall separately reveal?</t>
  </si>
  <si>
    <t>The 'why not just use accuracy' framing is a very common interview probe.</t>
  </si>
  <si>
    <t>Feature Engineering</t>
  </si>
  <si>
    <t>Encoding, scaling, interaction features</t>
  </si>
  <si>
    <t>Systematically transform raw data into model-ready, informative features.</t>
  </si>
  <si>
    <t>Kaggle Learn - Feature Engineering (free micro-course)</t>
  </si>
  <si>
    <t>'Feature Engineering for Machine Learning' selected chapters (Zheng &amp; Casari)</t>
  </si>
  <si>
    <t>scikit-learn.org/stable/modules/preprocessing.html</t>
  </si>
  <si>
    <t>Engineer interaction and time-based features for a tabular forecasting task</t>
  </si>
  <si>
    <t>Why does target encoding risk leakage without proper cross-validation folds? | When does feature scaling matter vs not (tree models vs linear/NN)?</t>
  </si>
  <si>
    <t>Still highly relevant even in an LLM-centric role for any tabular/metadata side-systems.</t>
  </si>
  <si>
    <t>Model Selection</t>
  </si>
  <si>
    <t>Cross-validation, nested CV, hyperparameter search</t>
  </si>
  <si>
    <t>Select models/hyperparameters without leaking test-set information.</t>
  </si>
  <si>
    <t>StatQuest - Cross Validation Clearly Explained</t>
  </si>
  <si>
    <t>'Elements of Statistical Learning' Ch.7.10 (free PDF)</t>
  </si>
  <si>
    <t>scikit-learn.org/stable/modules/cross_validation.html</t>
  </si>
  <si>
    <t>Implement nested cross-validation for unbiased hyperparameter selection</t>
  </si>
  <si>
    <t>Why does using the same CV folds for both model selection and evaluation leak information? | What does nested CV fix?</t>
  </si>
  <si>
    <t>A common 'find the bug in this ML pipeline' interview scenario centers on this leakage.</t>
  </si>
  <si>
    <t>Interpretability</t>
  </si>
  <si>
    <t>SHAP values &amp; feature attribution</t>
  </si>
  <si>
    <t>Game theory basics (Shapley values)</t>
  </si>
  <si>
    <t>Attribute a model's prediction to individual input features rigorously.</t>
  </si>
  <si>
    <t>StatQuest - SHAP Values Clearly Explained</t>
  </si>
  <si>
    <t>Original SHAP paper (Lundberg &amp; Lee, free NeurIPS paper)</t>
  </si>
  <si>
    <t>shap.readthedocs.io/en/latest/</t>
  </si>
  <si>
    <t>Compute SHAP values for an XGBoost model and compare to built-in feature importance</t>
  </si>
  <si>
    <t>Why are SHAP values theoretically grounded (Shapley values from game theory) while default feature importance isn't? | What's a limitation of SHAP for highly correlated features?</t>
  </si>
  <si>
    <t>Directly useful whenever a stakeholder asks 'why did the model predict this'.</t>
  </si>
  <si>
    <t>Explainability</t>
  </si>
  <si>
    <t>LIME, counterfactual explanations, saliency maps</t>
  </si>
  <si>
    <t>Compare local surrogate-model explanation techniques to attribution methods.</t>
  </si>
  <si>
    <t>StatQuest adjacent - LIME explained (official conference talk)</t>
  </si>
  <si>
    <t>Original LIME paper (Ribeiro et al, free arXiv)</t>
  </si>
  <si>
    <t>Generate a LIME explanation for a single prediction and compare to SHAP for the same instance</t>
  </si>
  <si>
    <t>How does LIME's local surrogate-model approach differ conceptually from SHAP's game-theoretic approach? | When do saliency maps mislead more than they inform?</t>
  </si>
  <si>
    <t>Good breadth topic; SHAP is more commonly used in production than LIME today.</t>
  </si>
  <si>
    <t>Backprop through modern Transformer architectures, normalization, and generative models.</t>
  </si>
  <si>
    <t>Backpropagation &amp; Core Architectures</t>
  </si>
  <si>
    <t>Backpropagation</t>
  </si>
  <si>
    <t>Chain rule applied through a computational graph</t>
  </si>
  <si>
    <t>Matrix Calculus, Automatic Differentiation</t>
  </si>
  <si>
    <t>Derive backprop from first principles, not just call .backward().</t>
  </si>
  <si>
    <t>Andrej Karpathy - Building micrograd (Neural Networks: Zero to Hero)</t>
  </si>
  <si>
    <t>'Deep Learning' book Ch.6.5 (Goodfellow, Bengio, Courville, free online)</t>
  </si>
  <si>
    <t>Implement backprop for a 2-layer MLP with pure NumPy, no autograd</t>
  </si>
  <si>
    <t>Why does backprop reuse forward-pass activations instead of recomputing them? | What causes vanishing gradients in deep/recurrent nets?</t>
  </si>
  <si>
    <t>Karpathy's micrograd series is the definitive from-scratch resource.</t>
  </si>
  <si>
    <t>Gradient Flow</t>
  </si>
  <si>
    <t>Vanishing/exploding gradients &amp; mitigations</t>
  </si>
  <si>
    <t>Diagnose and fix unstable gradient magnitudes across deep networks.</t>
  </si>
  <si>
    <t>Andrej Karpathy - Building makemore Part 3 (BatchNorm/gradient flow)</t>
  </si>
  <si>
    <t>'Deep Learning' book Ch.8.2.5 (Goodfellow et al)</t>
  </si>
  <si>
    <t>Plot gradient norms per layer for a deep MLP with/without normalization</t>
  </si>
  <si>
    <t>Why does residual connection help gradient flow in very deep networks? | How does gradient clipping prevent exploding gradients?</t>
  </si>
  <si>
    <t>Directly explains why ResNets and Transformers both lean heavily on skip connections.</t>
  </si>
  <si>
    <t>CNN</t>
  </si>
  <si>
    <t>Convolution, pooling, receptive fields</t>
  </si>
  <si>
    <t>Understand convolutional layers as learned, spatially-shared filters.</t>
  </si>
  <si>
    <t>Stanford CS231n - Convolutional Neural Networks lecture (free, Karpathy/Li)</t>
  </si>
  <si>
    <t>CS231n course notes (free, cs231n.github.io)</t>
  </si>
  <si>
    <t>pytorch.org/docs/stable/generated/torch.nn.Conv2d.html</t>
  </si>
  <si>
    <t>Implement a 2D convolution from scratch with NumPy and verify against PyTorch</t>
  </si>
  <si>
    <t>How does weight sharing in convolutions reduce parameters vs a fully-connected layer? | How does receptive field grow with network depth?</t>
  </si>
  <si>
    <t>CS231n remains one of the best free deep learning courses ever produced.</t>
  </si>
  <si>
    <t>Residual Networks</t>
  </si>
  <si>
    <t>Skip connections &amp; identity mappings</t>
  </si>
  <si>
    <t>CNN, Gradient Flow</t>
  </si>
  <si>
    <t>Understand why residual connections enabled training much deeper networks.</t>
  </si>
  <si>
    <t>Yannic Kilcher - ResNet paper walkthrough</t>
  </si>
  <si>
    <t>Original ResNet paper (He et al, free arXiv)</t>
  </si>
  <si>
    <t>pytorch.org/vision/stable/models.html#classification</t>
  </si>
  <si>
    <t>Train a plain deep CNN vs a ResNet of the same depth and compare convergence</t>
  </si>
  <si>
    <t>Why does an identity skip connection make it easier to learn than an unreferenced mapping? | How do residual connections show up in Transformer blocks?</t>
  </si>
  <si>
    <t>The residual idea directly carries into every modern Transformer block.</t>
  </si>
  <si>
    <t>Transformers &amp; Attention</t>
  </si>
  <si>
    <t>Transformers</t>
  </si>
  <si>
    <t>Encoder-decoder architecture, full forward pass</t>
  </si>
  <si>
    <t>Backpropagation, Linear Algebra</t>
  </si>
  <si>
    <t>Trace a full Transformer forward pass end to end.</t>
  </si>
  <si>
    <t>Andrej Karpathy - Let's build GPT from scratch</t>
  </si>
  <si>
    <t>'The Illustrated Transformer' (Jay Alammar, free blog)</t>
  </si>
  <si>
    <t>pytorch.org/docs/stable/generated/torch.nn.Transformer.html</t>
  </si>
  <si>
    <t>Implement a minimal decoder-only Transformer (nanoGPT-style) from scratch</t>
  </si>
  <si>
    <t>Train a small character-level GPT on a toy dataset</t>
  </si>
  <si>
    <t>Why does the original Transformer use both self-attention and feed-forward sublayers? | What role do layer norm and residuals play at each sublayer?</t>
  </si>
  <si>
    <t>Karpathy's 'Let's build GPT' + Jay Alammar's illustrated posts are the definitive combo.</t>
  </si>
  <si>
    <t>Attention</t>
  </si>
  <si>
    <t>Scaled dot-product attention &amp; multi-head attention</t>
  </si>
  <si>
    <t>Matrix Calculus, Transformers</t>
  </si>
  <si>
    <t>Derive scaled dot-product attention and understand why scaling by sqrt(d_k) matters.</t>
  </si>
  <si>
    <t>Andrej Karpathy - GPT from scratch (attention section)</t>
  </si>
  <si>
    <t>Implement multi-head self-attention from scratch and match PyTorch's output</t>
  </si>
  <si>
    <t>Why divide by sqrt(d_k) before the softmax in attention? | What does each attention head learn differently in practice?</t>
  </si>
  <si>
    <t>This single mechanism is the core building block of every modern LLM.</t>
  </si>
  <si>
    <t>RoPE</t>
  </si>
  <si>
    <t>Rotary Positional Embeddings</t>
  </si>
  <si>
    <t>Attention, Linear Algebra</t>
  </si>
  <si>
    <t>Understand how RoPE encodes relative position via rotation in embedding space.</t>
  </si>
  <si>
    <t>Yannic Kilcher / EleutherAI adjacent - RoPE explained talk</t>
  </si>
  <si>
    <t>Original RoFormer paper (Su et al, free arXiv)</t>
  </si>
  <si>
    <t>Implement RoPE from scratch and verify relative-position invariance</t>
  </si>
  <si>
    <t>Why does RoPE naturally encode relative rather than absolute position? | Why does RoPE extrapolate to longer contexts better than learned absolute embeddings?</t>
  </si>
  <si>
    <t>The current default positional scheme in Llama, Mistral, Qwen, and most modern open LLMs.</t>
  </si>
  <si>
    <t>ALiBi</t>
  </si>
  <si>
    <t>Attention with Linear Biases for length extrapolation</t>
  </si>
  <si>
    <t>Understand ALiBi's simpler alternative to RoPE for length generalization.</t>
  </si>
  <si>
    <t>Yannic Kilcher - ALiBi paper walkthrough</t>
  </si>
  <si>
    <t>Original ALiBi paper (Press et al, free arXiv)</t>
  </si>
  <si>
    <t>Implement ALiBi's linear bias and compare extrapolation to a no-position baseline</t>
  </si>
  <si>
    <t>How does ALiBi bias attention scores instead of modifying embeddings? | Why does ALiBi extrapolate well to unseen sequence lengths?</t>
  </si>
  <si>
    <t>Useful contrast case to RoPE for a 'compare positional encoding schemes' interview question.</t>
  </si>
  <si>
    <t>SwiGLU</t>
  </si>
  <si>
    <t>Gated linear unit activation variant</t>
  </si>
  <si>
    <t>Understand why SwiGLU-style gated activations outperform plain ReLU/GELU FFNs in LLMs.</t>
  </si>
  <si>
    <t>Yannic Kilcher adjacent - GLU Variants paper walkthrough</t>
  </si>
  <si>
    <t>'GLU Variants Improve Transformer' paper (Shazeer, free arXiv)</t>
  </si>
  <si>
    <t>Implement a SwiGLU feed-forward block and compare to a standard ReLU MLP block</t>
  </si>
  <si>
    <t>What does the gating mechanism in SwiGLU add over a plain activation? | Why did Llama/PaLM adopt SwiGLU over ReLU/GELU?</t>
  </si>
  <si>
    <t>A small but consistently-used architectural detail across most modern LLMs.</t>
  </si>
  <si>
    <t>FlashAttention</t>
  </si>
  <si>
    <t>IO-aware exact attention via tiling</t>
  </si>
  <si>
    <t>Attention, CUDA basics</t>
  </si>
  <si>
    <t>Understand how FlashAttention avoids materializing the full attention matrix in HBM.</t>
  </si>
  <si>
    <t>Tri Dao - FlashAttention paper talk (official)</t>
  </si>
  <si>
    <t>Original FlashAttention paper (Dao et al, free arXiv)</t>
  </si>
  <si>
    <t>github.com/Dao-AILab/flash-attention</t>
  </si>
  <si>
    <t>Read the FlashAttention CUDA kernel and annotate its tiling strategy</t>
  </si>
  <si>
    <t>Why is FlashAttention exact (not an approximation) yet still faster? | How does tiling reduce HBM reads/writes specifically?</t>
  </si>
  <si>
    <t>One of the highest-leverage papers to deeply understand for an NVIDIA/inference-focused role.</t>
  </si>
  <si>
    <t>MoE</t>
  </si>
  <si>
    <t>Mixture of Experts, sparse routing, load balancing</t>
  </si>
  <si>
    <t>Understand how sparse expert routing scales parameter count without scaling compute proportionally.</t>
  </si>
  <si>
    <t>Yannic Kilcher - Switch Transformer / MoE paper walkthrough</t>
  </si>
  <si>
    <t>'Switch Transformers' paper (Fedus et al, free arXiv)</t>
  </si>
  <si>
    <t>Implement a toy top-1 MoE router and observe expert load imbalance</t>
  </si>
  <si>
    <t>Why is expert load-balancing loss necessary during MoE training? | What's the tradeoff MoE makes between parameter count and active compute per token?</t>
  </si>
  <si>
    <t>Directly relevant to Mixtral, DeepSeek-MoE, and Grok's architecture choices.</t>
  </si>
  <si>
    <t>Normalization, Loss &amp; Generative Models</t>
  </si>
  <si>
    <t>Normalization</t>
  </si>
  <si>
    <t>BatchNorm, LayerNorm, RMSNorm</t>
  </si>
  <si>
    <t>Understand why and where each normalization variant is applied.</t>
  </si>
  <si>
    <t>Andrej Karpathy - makemore Part 3 (BatchNorm deep-dive)</t>
  </si>
  <si>
    <t>Original LayerNorm paper (Ba et al, free arXiv)</t>
  </si>
  <si>
    <t>pytorch.org/docs/stable/generated/torch.nn.LayerNorm.html</t>
  </si>
  <si>
    <t>Implement LayerNorm and RMSNorm from scratch and compare stability during training</t>
  </si>
  <si>
    <t>Why do Transformers use LayerNorm/RMSNorm instead of BatchNorm? | What compute does RMSNorm save over LayerNorm?</t>
  </si>
  <si>
    <t>RMSNorm is now the default in Llama-family models for its lower compute cost.</t>
  </si>
  <si>
    <t>Loss Functions</t>
  </si>
  <si>
    <t>Cross-entropy, contrastive, and ranking losses</t>
  </si>
  <si>
    <t>Match the loss function to the training objective (classification vs. representation learning vs. ranking).</t>
  </si>
  <si>
    <t>Yannic Kilcher - Contrastive Loss / SimCLR paper walkthrough</t>
  </si>
  <si>
    <t>'Deep Learning' book Ch.6.2 (Goodfellow et al, free)</t>
  </si>
  <si>
    <t>pytorch.org/docs/stable/nn.html#loss-functions</t>
  </si>
  <si>
    <t>Implement InfoNCE contrastive loss from scratch for a small embedding task</t>
  </si>
  <si>
    <t>Why does contrastive loss need negative samples while cross-entropy doesn't? | How does temperature affect contrastive loss sharpness?</t>
  </si>
  <si>
    <t>InfoNCE-style losses underlie most modern embedding-model training (relevant to RAG).</t>
  </si>
  <si>
    <t>Diffusion</t>
  </si>
  <si>
    <t>Forward/reverse diffusion, denoising score matching</t>
  </si>
  <si>
    <t>Probability, Optimization</t>
  </si>
  <si>
    <t>Understand diffusion models as learning to reverse a gradual noising process.</t>
  </si>
  <si>
    <t>Outlier / Yannic Kilcher - Diffusion Models explained from scratch</t>
  </si>
  <si>
    <t>'Denoising Diffusion Probabilistic Models' paper (Ho et al, free arXiv)</t>
  </si>
  <si>
    <t>huggingface.co/docs/diffusers/en/index</t>
  </si>
  <si>
    <t>Implement a minimal DDPM on a toy 2D dataset and visualize the reverse process</t>
  </si>
  <si>
    <t>Why is the reverse process trained to predict noise rather than the clean image directly? | How does the noise schedule affect sample quality/speed tradeoffs?</t>
  </si>
  <si>
    <t>Less central to text-only LLM roles but increasingly relevant to multimodal generative work.</t>
  </si>
  <si>
    <t>Vision Transformers</t>
  </si>
  <si>
    <t>Patch embeddings &amp; ViT architecture</t>
  </si>
  <si>
    <t>Transformers, CNN</t>
  </si>
  <si>
    <t>Understand how images are tokenized into patches for a standard Transformer.</t>
  </si>
  <si>
    <t>Yannic Kilcher - ViT paper walkthrough (An Image is Worth 16x16 Words)</t>
  </si>
  <si>
    <t>Original ViT paper (Dosovitskiy et al, free arXiv)</t>
  </si>
  <si>
    <t>Implement patch embedding + a small ViT and train on a toy image dataset</t>
  </si>
  <si>
    <t>Why do ViTs need far more data than CNNs to match performance (lack of inductive bias)? | How is a 2D image patch flattened into a Transformer token?</t>
  </si>
  <si>
    <t>The architectural bridge between CNN-era vision and today's multimodal LLMs.</t>
  </si>
  <si>
    <t>Multimodal Models</t>
  </si>
  <si>
    <t>Vision-language fusion: cross-attention vs. shared embedding space</t>
  </si>
  <si>
    <t>Vision Transformers, Attention</t>
  </si>
  <si>
    <t>Understand the main architectural strategies for fusing text and image modalities.</t>
  </si>
  <si>
    <t>Yannic Kilcher - CLIP paper walkthrough</t>
  </si>
  <si>
    <t>Original CLIP paper (Radford et al, free arXiv)</t>
  </si>
  <si>
    <t>huggingface.co/docs/transformers/en/model_doc/clip</t>
  </si>
  <si>
    <t>Use a pretrained CLIP model to compute image-text similarity for a small dataset</t>
  </si>
  <si>
    <t>Build a simple image-text retrieval demo using CLIP embeddings</t>
  </si>
  <si>
    <t>How does CLIP's contrastive pretraining align image and text embeddings without paired labels? | What's the difference between early fusion (cross-attention) and late fusion (shared embedding space)?</t>
  </si>
  <si>
    <t>CLIP-style contrastive pretraining underlies most modern multimodal LLM vision encoders.</t>
  </si>
  <si>
    <t>Tokenization through inference serving — the highest-priority sheet for your target roles.</t>
  </si>
  <si>
    <t>Tokenization</t>
  </si>
  <si>
    <t>Tokenizers</t>
  </si>
  <si>
    <t>Subword tokenization overview &amp; vocabulary tradeoffs</t>
  </si>
  <si>
    <t>Deep Learning fundamentals</t>
  </si>
  <si>
    <t>Understand why subword tokenization balances vocabulary size against sequence length.</t>
  </si>
  <si>
    <t>Andrej Karpathy - Let's build the GPT Tokenizer</t>
  </si>
  <si>
    <t>Hugging Face NLP Course - Tokenizers chapter (free)</t>
  </si>
  <si>
    <t>huggingface.co/docs/transformers/en/tokenizer_summary</t>
  </si>
  <si>
    <t>Compare token counts for the same text across GPT/Llama/Claude-style tokenizers</t>
  </si>
  <si>
    <t>Why not just tokenize at the word or character level? | How does vocabulary size affect embedding table size vs sequence length?</t>
  </si>
  <si>
    <t>Karpathy's tokenizer video is the single best from-scratch walkthrough available.</t>
  </si>
  <si>
    <t>BPE</t>
  </si>
  <si>
    <t>Byte-Pair Encoding merge algorithm</t>
  </si>
  <si>
    <t>Implement the BPE merge algorithm that builds a subword vocabulary from raw text.</t>
  </si>
  <si>
    <t>Andrej Karpathy - Let's build the GPT Tokenizer (BPE section)</t>
  </si>
  <si>
    <t>Hugging Face NLP Course - Byte-Pair Encoding tokenization (free)</t>
  </si>
  <si>
    <t>huggingface.co/docs/transformers/en/tokenizer_summary#bytepair-encoding-bpe</t>
  </si>
  <si>
    <t>Implement byte-level BPE from scratch on a small corpus (minbpe-style)</t>
  </si>
  <si>
    <t>Train a custom BPE tokenizer on domain-specific text and compare compression ratio</t>
  </si>
  <si>
    <t>Why does GPT-2 use byte-level BPE instead of Unicode-character-level BPE? | How do merge rules get applied at inference/encoding time?</t>
  </si>
  <si>
    <t>This is exactly what Karpathy's minbpe repo implements end to end.</t>
  </si>
  <si>
    <t>SentencePiece</t>
  </si>
  <si>
    <t>Language-agnostic tokenization without pre-tokenization</t>
  </si>
  <si>
    <t>Understand SentencePiece's whitespace-as-symbol approach for language-agnostic tokenization.</t>
  </si>
  <si>
    <t>Hugging Face - SentencePiece explainer (official course video)</t>
  </si>
  <si>
    <t>SentencePiece official documentation/paper (Kudo &amp; Richardson, free)</t>
  </si>
  <si>
    <t>github.com/google/sentencepiece</t>
  </si>
  <si>
    <t>Train a SentencePiece unigram-model tokenizer on a small multilingual corpus</t>
  </si>
  <si>
    <t>Why does SentencePiece treat whitespace as a regular symbol? | What's the difference between SentencePiece's BPE and unigram modes?</t>
  </si>
  <si>
    <t>Used by Llama, T5, and many multilingual models specifically for language-agnostic handling.</t>
  </si>
  <si>
    <t>WordPiece</t>
  </si>
  <si>
    <t>Likelihood-based subword merging (BERT's tokenizer)</t>
  </si>
  <si>
    <t>Understand how WordPiece's merge criterion differs from BPE's frequency-based merges.</t>
  </si>
  <si>
    <t>Hugging Face - WordPiece explainer (official course video)</t>
  </si>
  <si>
    <t>Hugging Face NLP Course - WordPiece tokenization (free)</t>
  </si>
  <si>
    <t>huggingface.co/docs/transformers/en/tokenizer_summary#wordpiece</t>
  </si>
  <si>
    <t>Compare a word's BPE vs WordPiece tokenization side by side</t>
  </si>
  <si>
    <t>How does WordPiece's likelihood-based merge score differ from BPE's raw frequency count? | Why does BERT specifically use WordPiece?</t>
  </si>
  <si>
    <t>Mostly relevant for understanding legacy encoder models like BERT.</t>
  </si>
  <si>
    <t>Transformer Internals &amp; Inference Optimization</t>
  </si>
  <si>
    <t>Transformer Internals</t>
  </si>
  <si>
    <t>KV Cache mechanics &amp; memory growth</t>
  </si>
  <si>
    <t>Understand why caching keys/values avoids recomputing attention for past tokens.</t>
  </si>
  <si>
    <t>Andrej Karpathy - GPT from scratch (inference/KV cache adjacent)</t>
  </si>
  <si>
    <t>Hugging Face - 'A Guide to Efficient LLM Inference' blog (free)</t>
  </si>
  <si>
    <t>huggingface.co/docs/transformers/en/llm_tutorial_optimization</t>
  </si>
  <si>
    <t>Implement KV caching in a minimal decoder and measure the generation speedup</t>
  </si>
  <si>
    <t>Why does KV cache memory grow linearly with sequence length AND batch size? | How does KV cache size relate to the number of layers and heads?</t>
  </si>
  <si>
    <t>KV cache size is the primary memory bottleneck for long-context serving.</t>
  </si>
  <si>
    <t>PagedAttention</t>
  </si>
  <si>
    <t>Virtual-memory-style paging for the KV cache</t>
  </si>
  <si>
    <t>Transformer Internals, OS Virtual Memory</t>
  </si>
  <si>
    <t>Understand how vLLM applies OS paging concepts to eliminate KV cache fragmentation.</t>
  </si>
  <si>
    <t>vLLM team - PagedAttention paper talk (official)</t>
  </si>
  <si>
    <t>Original vLLM/PagedAttention paper (Kwon et al, free arXiv)</t>
  </si>
  <si>
    <t>docs.vllm.ai/en/latest/design/paged_attention.html</t>
  </si>
  <si>
    <t>Read vLLM's PagedAttention kernel source and map it to your OS paging knowledge</t>
  </si>
  <si>
    <t>How does PagedAttention borrow directly from OS virtual memory paging? | Why does non-contiguous KV cache storage reduce memory waste?</t>
  </si>
  <si>
    <t>This is the single biggest inference-serving innovation of the last few years — study it deeply.</t>
  </si>
  <si>
    <t>Continuous Batching</t>
  </si>
  <si>
    <t>Iteration-level scheduling for dynamic batch composition</t>
  </si>
  <si>
    <t>Understand how continuous batching keeps GPU utilization high with variable-length requests.</t>
  </si>
  <si>
    <t>vLLM/Anyscale - Continuous Batching explained (official blog talk)</t>
  </si>
  <si>
    <t>Anyscale - 'How continuous batching enables 23x throughput' (free blog)</t>
  </si>
  <si>
    <t>docs.vllm.ai/en/latest/</t>
  </si>
  <si>
    <t>Simulate static vs continuous batching throughput on a synthetic request stream</t>
  </si>
  <si>
    <t>Why does static batching waste GPU cycles on short-finished sequences? | How does continuous batching decide when to admit a new request mid-batch?</t>
  </si>
  <si>
    <t>Directly explains the throughput gap between naive and production-grade serving stacks.</t>
  </si>
  <si>
    <t>Speculative Decoding</t>
  </si>
  <si>
    <t>Draft-model verification for faster autoregressive generation</t>
  </si>
  <si>
    <t>Understand how a small draft model speeds up generation from a larger target model.</t>
  </si>
  <si>
    <t>Yannic Kilcher - Speculative Decoding paper walkthrough</t>
  </si>
  <si>
    <t>'Fast Inference from Transformers via Speculative Decoding' (Leviathan et al, free arXiv)</t>
  </si>
  <si>
    <t>huggingface.co/docs/transformers/en/llm_tutorial_optimization#speculative-decoding</t>
  </si>
  <si>
    <t>Implement a toy speculative decoding loop with a small/large model pair</t>
  </si>
  <si>
    <t>Why does speculative decoding preserve the exact output distribution of the target model? | What determines the achievable speedup (draft model acceptance rate)?</t>
  </si>
  <si>
    <t>A major lever for reducing latency without changing the served model's quality.</t>
  </si>
  <si>
    <t>Quantization</t>
  </si>
  <si>
    <t>INT8/INT4 quantization, GPTQ, AWQ</t>
  </si>
  <si>
    <t>Linear Algebra, Numerical precision</t>
  </si>
  <si>
    <t>Understand how reducing weight precision trades a small quality cost for large memory/speed wins.</t>
  </si>
  <si>
    <t>Hugging Face - Quantization explained (official course video)</t>
  </si>
  <si>
    <t>'GPTQ' paper (Frantar et al, free arXiv) and 'AWQ' paper (Lin et al, free arXiv)</t>
  </si>
  <si>
    <t>huggingface.co/docs/transformers/en/quantization/overview</t>
  </si>
  <si>
    <t>Quantize an open model to INT4 with a library like AutoGPTQ and measure quality/speed tradeoff</t>
  </si>
  <si>
    <t>Why does AWQ protect a small subset of 'salient' weights at higher precision? | How does GPTQ use layer-wise error compensation during quantization?</t>
  </si>
  <si>
    <t>Directly determines what hardware footprint a model can be served on.</t>
  </si>
  <si>
    <t>Fine-Tuning &amp; Alignment</t>
  </si>
  <si>
    <t>LoRA</t>
  </si>
  <si>
    <t>Low-Rank Adaptation of pretrained weights</t>
  </si>
  <si>
    <t>SVD, Linear Algebra</t>
  </si>
  <si>
    <t>Understand how LoRA freezes base weights and learns a low-rank update instead.</t>
  </si>
  <si>
    <t>Hugging Face - LoRA explained (official PEFT course video)</t>
  </si>
  <si>
    <t>Original LoRA paper (Hu et al, free arXiv)</t>
  </si>
  <si>
    <t>huggingface.co/docs/peft/en/conceptual_guides/lora</t>
  </si>
  <si>
    <t>Fine-tune a small open model with LoRA on a custom dataset using PEFT</t>
  </si>
  <si>
    <t>Why does a low-rank update matter memory-wise vs full fine-tuning? | How do you choose the LoRA rank (r) and which layers to adapt?</t>
  </si>
  <si>
    <t>The SVD topic in the Mathematics sheet is the direct mathematical foundation here.</t>
  </si>
  <si>
    <t>QLoRA</t>
  </si>
  <si>
    <t>4-bit quantized base model + LoRA adapters</t>
  </si>
  <si>
    <t>LoRA, Quantization</t>
  </si>
  <si>
    <t>Understand how QLoRA combines quantization and LoRA to fine-tune huge models on limited hardware.</t>
  </si>
  <si>
    <t>Hugging Face - QLoRA explained (official course video)</t>
  </si>
  <si>
    <t>Original QLoRA paper (Dettmers et al, free arXiv)</t>
  </si>
  <si>
    <t>huggingface.co/docs/peft/en/developer_guides/quantization</t>
  </si>
  <si>
    <t>Fine-tune a 7B+ parameter model with QLoRA on a single consumer GPU</t>
  </si>
  <si>
    <t>What does QLoRA's 4-bit NormalFloat (NF4) data type optimize for vs standard INT4? | How does paged optimizer state avoid OOM during QLoRA training?</t>
  </si>
  <si>
    <t>This is what made fine-tuning large open models accessible outside big labs.</t>
  </si>
  <si>
    <t>PEFT</t>
  </si>
  <si>
    <t>Parameter-Efficient Fine-Tuning landscape (LoRA, prefix-tuning, adapters)</t>
  </si>
  <si>
    <t>Compare the major PEFT strategies and when to choose each.</t>
  </si>
  <si>
    <t>Hugging Face - PEFT methods overview (official course video)</t>
  </si>
  <si>
    <t>Hugging Face PEFT documentation - conceptual guides</t>
  </si>
  <si>
    <t>huggingface.co/docs/peft/en/index</t>
  </si>
  <si>
    <t>Fine-tune the same task with LoRA vs prefix-tuning and compare parameter count/quality</t>
  </si>
  <si>
    <t>When would prefix-tuning be preferred over LoRA? | Why do PEFT methods generally reduce catastrophic forgetting vs full fine-tuning?</t>
  </si>
  <si>
    <t>Good breadth topic showing you know the full toolbox, not just LoRA.</t>
  </si>
  <si>
    <t>SFT</t>
  </si>
  <si>
    <t>Supervised Fine-Tuning on instruction data</t>
  </si>
  <si>
    <t>Cross Entropy, Transformers</t>
  </si>
  <si>
    <t>Understand how SFT adapts a pretrained base model to follow instructions.</t>
  </si>
  <si>
    <t>Hugging Face - SFT explained (official TRL course video)</t>
  </si>
  <si>
    <t>Hugging Face TRL documentation - SFTTrainer guide (free)</t>
  </si>
  <si>
    <t>huggingface.co/docs/trl/en/sft_trainer</t>
  </si>
  <si>
    <t>Run SFT on an open base model using Hugging Face's TRL library</t>
  </si>
  <si>
    <t>Build an end-to-end SFT pipeline: data curation, training, eval</t>
  </si>
  <si>
    <t>Why does SFT data quality matter more than quantity beyond a certain point? | How is the loss masked so only completion tokens (not prompt tokens) are trained on?</t>
  </si>
  <si>
    <t>The first stage of essentially every modern post-training pipeline.</t>
  </si>
  <si>
    <t>RLHF</t>
  </si>
  <si>
    <t>Reinforcement Learning from Human Feedback pipeline</t>
  </si>
  <si>
    <t>SFT, Reward Models</t>
  </si>
  <si>
    <t>Understand the 3-stage RLHF pipeline: SFT, reward modeling, RL optimization (PPO).</t>
  </si>
  <si>
    <t>Hugging Face - RLHF explained (official course video)</t>
  </si>
  <si>
    <t>'Training language models to follow instructions with human feedback' (InstructGPT paper, Ouyang et al, free arXiv)</t>
  </si>
  <si>
    <t>huggingface.co/docs/trl/en/ppo_trainer</t>
  </si>
  <si>
    <t>Walk through Hugging Face TRL's PPO trainer on a toy reward function</t>
  </si>
  <si>
    <t>Why is a KL penalty against the SFT policy included in the RLHF objective? | What makes PPO more stable than naive policy gradient for this setting?</t>
  </si>
  <si>
    <t>The InstructGPT paper is essential, foundational reading for this whole section.</t>
  </si>
  <si>
    <t>DPO</t>
  </si>
  <si>
    <t>Direct Preference Optimization (RL-free alignment)</t>
  </si>
  <si>
    <t>RLHF, KL Divergence</t>
  </si>
  <si>
    <t>Understand how DPO reformulates RLHF's objective as a simple classification loss.</t>
  </si>
  <si>
    <t>Yannic Kilcher - DPO paper walkthrough</t>
  </si>
  <si>
    <t>Original DPO paper (Rafailov et al, free arXiv)</t>
  </si>
  <si>
    <t>huggingface.co/docs/trl/en/dpo_trainer</t>
  </si>
  <si>
    <t>Fine-tune a model with DPO on a preference dataset using Hugging Face TRL</t>
  </si>
  <si>
    <t>Compare SFT-only vs SFT+DPO outputs on a held-out eval set</t>
  </si>
  <si>
    <t>How does DPO avoid training an explicit reward model at all? | Why is DPO more stable to train than PPO-based RLHF in practice?</t>
  </si>
  <si>
    <t>DPO's simplicity has made it the default choice for many open-source alignment pipelines.</t>
  </si>
  <si>
    <t>GRPO</t>
  </si>
  <si>
    <t>Group Relative Policy Optimization</t>
  </si>
  <si>
    <t>DPO, RLHF</t>
  </si>
  <si>
    <t>Understand GRPO's critic-free approach to RL fine-tuning popularized by DeepSeek.</t>
  </si>
  <si>
    <t>Yannic Kilcher / community - GRPO &amp; DeepSeekMath paper walkthrough</t>
  </si>
  <si>
    <t>'DeepSeekMath' paper, GRPO section (Shao et al, free arXiv)</t>
  </si>
  <si>
    <t>huggingface.co/docs/trl/en/grpo_trainer</t>
  </si>
  <si>
    <t>Read TRL's GRPOTrainer source and compare its loss to PPO's</t>
  </si>
  <si>
    <t>Why does GRPO avoid training a separate value/critic network? | How does group-relative advantage estimation replace a learned baseline?</t>
  </si>
  <si>
    <t>Directly relevant to recent reasoning-model training pipelines (DeepSeek-R1 style).</t>
  </si>
  <si>
    <t>Reward Models</t>
  </si>
  <si>
    <t>Bradley-Terry preference modeling</t>
  </si>
  <si>
    <t>Bayes, Cross Entropy</t>
  </si>
  <si>
    <t>Understand how pairwise human preferences are converted into a scalar reward signal.</t>
  </si>
  <si>
    <t>Hugging Face - Reward Modeling explained (official course video)</t>
  </si>
  <si>
    <t>InstructGPT paper, reward-model section (Ouyang et al, free arXiv)</t>
  </si>
  <si>
    <t>huggingface.co/docs/trl/en/reward_trainer</t>
  </si>
  <si>
    <t>Train a reward model on a preference dataset and inspect its score distribution</t>
  </si>
  <si>
    <t>Why is the Bradley-Terry model a natural fit for pairwise preference data? | What causes reward-model overoptimization (reward hacking) during downstream RL?</t>
  </si>
  <si>
    <t>Reward hacking is a top-tier alignment interview discussion topic.</t>
  </si>
  <si>
    <t>Prompting, Evaluation &amp; Serving</t>
  </si>
  <si>
    <t>Prompt Optimization</t>
  </si>
  <si>
    <t>Few-shot design, chain-of-thought, structured output</t>
  </si>
  <si>
    <t>LLM API fluency</t>
  </si>
  <si>
    <t>Systematically improve prompt quality rather than relying on trial and error.</t>
  </si>
  <si>
    <t>DeepLearning.AI - Prompt Engineering for Developers (free short course)</t>
  </si>
  <si>
    <t>'Prompt Engineering Guide' (promptingguide.ai, free)</t>
  </si>
  <si>
    <t>platform.openai.com/docs/guides/prompt-engineering</t>
  </si>
  <si>
    <t>A/B test 3 prompting strategies on the same task and measure eval-score deltas</t>
  </si>
  <si>
    <t>Why does chain-of-thought prompting help more on some task types than others? | How do you make LLM output reliably parseable (structured output / function-calling schemas)?</t>
  </si>
  <si>
    <t>Directly usable given your existing LangChain/agents background.</t>
  </si>
  <si>
    <t>Evaluation</t>
  </si>
  <si>
    <t>LLM-as-judge, benchmark design, eval contamination</t>
  </si>
  <si>
    <t>Design trustworthy evaluations that avoid common LLM-eval pitfalls.</t>
  </si>
  <si>
    <t>Hugging Face - LLM Evaluation explained (official course video)</t>
  </si>
  <si>
    <t>'Judging LLM-as-a-Judge' paper (Zheng et al, free arXiv)</t>
  </si>
  <si>
    <t>huggingface.co/docs/lighteval/en/index</t>
  </si>
  <si>
    <t>Build a small LLM-as-judge eval harness and check its agreement with human labels</t>
  </si>
  <si>
    <t>Build a regression-test eval suite for a prompt/pipeline you maintain</t>
  </si>
  <si>
    <t>What biases does LLM-as-judge scoring introduce (e.g. verbosity/position bias)? | How do you detect and prevent benchmark/eval-set contamination in pretraining data?</t>
  </si>
  <si>
    <t>Weak evaluation is one of the most common real-world failure points in production LLM systems.</t>
  </si>
  <si>
    <t>Agents</t>
  </si>
  <si>
    <t>ReAct pattern, planning, self-correction loops</t>
  </si>
  <si>
    <t>LLM APIs, LangChain</t>
  </si>
  <si>
    <t>Understand the core reasoning-acting loop underlying most agent frameworks.</t>
  </si>
  <si>
    <t>DeepLearning.AI - AI Agents in LangGraph (free short course)</t>
  </si>
  <si>
    <t>Original ReAct paper (Yao et al, free arXiv)</t>
  </si>
  <si>
    <t>python.langchain.com/docs/concepts/agents/</t>
  </si>
  <si>
    <t>Build a ReAct-style agent from scratch (no framework) that uses 2 tools</t>
  </si>
  <si>
    <t>Build a multi-step research agent with self-correction/reflection</t>
  </si>
  <si>
    <t>Why does interleaving reasoning and acting outperform reasoning-only or acting-only approaches? | How do you prevent an agent from looping indefinitely?</t>
  </si>
  <si>
    <t>Given your background, this is a strong area to go deep rather than wide.</t>
  </si>
  <si>
    <t>Tool Calling</t>
  </si>
  <si>
    <t>Function-calling schemas &amp; structured tool invocation</t>
  </si>
  <si>
    <t>Understand how models are trained/prompted to emit structured, parseable tool calls.</t>
  </si>
  <si>
    <t>OpenAI/Anthropic - Function calling explainer (official docs walkthroughs)</t>
  </si>
  <si>
    <t>Anthropic - Tool use documentation (free)</t>
  </si>
  <si>
    <t>docs.anthropic.com/en/docs/agents-and-tools/tool-use/overview</t>
  </si>
  <si>
    <t>Implement a multi-tool agent loop handling tool_use/tool_result turns manually (no SDK helper)</t>
  </si>
  <si>
    <t>Why do models need explicit schemas rather than free-text tool descriptions? | How do you handle a model calling a tool with invalid arguments?</t>
  </si>
  <si>
    <t>Directly maps onto your MCP investigation interest.</t>
  </si>
  <si>
    <t>Memory</t>
  </si>
  <si>
    <t>Short-term context vs long-term memory architectures for agents</t>
  </si>
  <si>
    <t>RAG, Vector Search</t>
  </si>
  <si>
    <t>Design memory systems that let agents persist and retrieve information across sessions.</t>
  </si>
  <si>
    <t>DeepLearning.AI - Building agentic memory systems (free short course content)</t>
  </si>
  <si>
    <t>LangChain - Memory concepts documentation (free)</t>
  </si>
  <si>
    <t>python.langchain.com/docs/concepts/memory/</t>
  </si>
  <si>
    <t>Build a simple long-term memory store for an agent using a vector DB + summarization</t>
  </si>
  <si>
    <t>What's the tradeoff between raw conversation history and summarized memory? | How do you decide what's worth persisting to long-term memory vs discarding?</t>
  </si>
  <si>
    <t>A fast-evolving area — worth revisiting resources periodically.</t>
  </si>
  <si>
    <t>MCP</t>
  </si>
  <si>
    <t>Model Context Protocol for tool/data connectivity</t>
  </si>
  <si>
    <t>Tool Calling, RPC</t>
  </si>
  <si>
    <t>Understand MCP's client-server model for standardizing how models access tools/data.</t>
  </si>
  <si>
    <t>Anthropic - Introducing MCP (official announcement walkthrough)</t>
  </si>
  <si>
    <t>Anthropic - Model Context Protocol documentation (free)</t>
  </si>
  <si>
    <t>modelcontextprotocol.io/introduction</t>
  </si>
  <si>
    <t>Build a minimal MCP server exposing one custom tool and connect a client to it</t>
  </si>
  <si>
    <t>Wrap one of your existing internal scripts/tools as an MCP server</t>
  </si>
  <si>
    <t>How does MCP standardize what previously required bespoke integrations per tool? | What's the difference between an MCP 'resource' and a 'tool'?</t>
  </si>
  <si>
    <t>Given your specific interest in this area, worth deep hands-on practice, not just reading.</t>
  </si>
  <si>
    <t>RAG</t>
  </si>
  <si>
    <t>Retrieval-augmented generation pipeline design</t>
  </si>
  <si>
    <t>Vector Search, Embeddings</t>
  </si>
  <si>
    <t>Design a RAG pipeline's retrieval, ranking, and context-injection stages end to end.</t>
  </si>
  <si>
    <t>DeepLearning.AI - Building and Evaluating Advanced RAG (free short course)</t>
  </si>
  <si>
    <t>Original RAG paper (Lewis et al, free arXiv)</t>
  </si>
  <si>
    <t>python.langchain.com/docs/concepts/rag/</t>
  </si>
  <si>
    <t>Build a RAG pipeline with chunking, embedding, retrieval, and re-ranking</t>
  </si>
  <si>
    <t>Build a RAG system over your own resume/portfolio content and evaluate answer faithfulness</t>
  </si>
  <si>
    <t>Why does chunk size/overlap significantly affect retrieval quality? | What does a re-ranker add over raw embedding-similarity retrieval?</t>
  </si>
  <si>
    <t>Given your RAG background, focus this sheet's effort on the harder eval/re-ranking topics.</t>
  </si>
  <si>
    <t>Vector Search</t>
  </si>
  <si>
    <t>ANN search algorithms &amp; index tuning</t>
  </si>
  <si>
    <t>Vector Databases (see Databases sheet)</t>
  </si>
  <si>
    <t>Tune vector index parameters for the recall/latency tradeoff your application needs.</t>
  </si>
  <si>
    <t>Pinecone - Vector Search 101 (official learning series)</t>
  </si>
  <si>
    <t>Pinecone Learning Center - ANN algorithms overview</t>
  </si>
  <si>
    <t>pinecone.io/learn/vector-search-basics/</t>
  </si>
  <si>
    <t>Benchmark recall@k vs latency across different HNSW ef_search settings</t>
  </si>
  <si>
    <t>How does increasing ef_search trade latency for recall in HNSW? | When would exact (brute-force) search still beat ANN at small scale?</t>
  </si>
  <si>
    <t>Complements the Vector Databases row in the Databases sheet — study together.</t>
  </si>
  <si>
    <t>Embeddings</t>
  </si>
  <si>
    <t>Dense embedding models &amp; contrastive training</t>
  </si>
  <si>
    <t>Loss Functions (Deep Learning sheet)</t>
  </si>
  <si>
    <t>Understand how embedding models are trained to place similar items close in vector space.</t>
  </si>
  <si>
    <t>Hugging Face - Sentence Embeddings explained (official course video)</t>
  </si>
  <si>
    <t>'Sentence-BERT' paper (Reimers &amp; Gurevych, free arXiv)</t>
  </si>
  <si>
    <t>huggingface.co/docs/sentence-transformers/en/index</t>
  </si>
  <si>
    <t>Fine-tune a small embedding model on domain-specific pairs with sentence-transformers</t>
  </si>
  <si>
    <t>Why does Sentence-BERT's siamese network structure enable fast similarity search? | How does hard-negative mining improve embedding quality?</t>
  </si>
  <si>
    <t>Directly determines RAG retrieval quality — often more impactful than the LLM choice itself.</t>
  </si>
  <si>
    <t>Inference Optimization</t>
  </si>
  <si>
    <t>Batching, KV cache reuse, prompt caching strategies</t>
  </si>
  <si>
    <t>PagedAttention, Continuous Batching</t>
  </si>
  <si>
    <t>Combine the serving-optimization techniques above into a coherent deployment strategy.</t>
  </si>
  <si>
    <t>vLLM team - Production LLM Serving talk (official)</t>
  </si>
  <si>
    <t>Hugging Face - 'A Guide to Efficient LLM Inference' (free blog)</t>
  </si>
  <si>
    <t>Benchmark end-to-end throughput/latency of a self-hosted model under increasing concurrent load</t>
  </si>
  <si>
    <t>How does prompt/prefix caching reduce redundant compute for repeated system prompts? | What's the throughput-vs-latency tradeoff of larger batch sizes?</t>
  </si>
  <si>
    <t>This row ties together everything else in this section into a deployable system.</t>
  </si>
  <si>
    <t>vLLM</t>
  </si>
  <si>
    <t>Production serving engine architecture</t>
  </si>
  <si>
    <t>Understand vLLM's architecture well enough to deploy and tune it in production.</t>
  </si>
  <si>
    <t>vLLM team - vLLM architecture deep dive (official talk)</t>
  </si>
  <si>
    <t>vLLM official documentation (free)</t>
  </si>
  <si>
    <t>Deploy an open model with vLLM and load-test it with concurrent requests</t>
  </si>
  <si>
    <t>Stand up a vLLM-served model behind a FastAPI gateway with request queuing</t>
  </si>
  <si>
    <t>What tunable parameters most affect vLLM's throughput vs latency tradeoff? | How does vLLM decide the KV cache block size?</t>
  </si>
  <si>
    <t>Directly usable with your existing FastAPI/Docker infrastructure background.</t>
  </si>
  <si>
    <t>TensorRT-LLM</t>
  </si>
  <si>
    <t>NVIDIA's compiled inference engine</t>
  </si>
  <si>
    <t>CUDA basics, vLLM concepts</t>
  </si>
  <si>
    <t>Understand how TensorRT-LLM's ahead-of-time compilation trades flexibility for raw speed.</t>
  </si>
  <si>
    <t>NVIDIA - TensorRT-LLM overview (official GTC talk)</t>
  </si>
  <si>
    <t>NVIDIA TensorRT-LLM official documentation (free)</t>
  </si>
  <si>
    <t>github.com/NVIDIA/TensorRT-LLM</t>
  </si>
  <si>
    <t>Compile and benchmark a small open model with TensorRT-LLM vs vLLM on the same hardware</t>
  </si>
  <si>
    <t>Why does ahead-of-time kernel compilation give TensorRT-LLM an edge over more flexible runtimes? | What's the tradeoff of TensorRT-LLM's longer build/compile step?</t>
  </si>
  <si>
    <t>High-value, NVIDIA-specific knowledge directly relevant to your target companies.</t>
  </si>
  <si>
    <t>GPU architecture, memory hierarchy, and modern kernel-authoring tools (Triton).</t>
  </si>
  <si>
    <t>Sheet Progress  —  15 topics total</t>
  </si>
  <si>
    <t>GPU Architecture &amp; Programming Model</t>
  </si>
  <si>
    <t>GPU Architecture</t>
  </si>
  <si>
    <t>SMs, warps, CUDA cores vs Tensor Cores</t>
  </si>
  <si>
    <t>Computer architecture basics</t>
  </si>
  <si>
    <t>Understand the hierarchy from GPU -&gt; Streaming Multiprocessor -&gt; warp -&gt; thread.</t>
  </si>
  <si>
    <t>NVIDIA - CUDA architecture overview (official GTC talk)</t>
  </si>
  <si>
    <t>'Programming Massively Parallel Processors' Ch.4 (Kirk &amp; Hwu) - selected free chapters</t>
  </si>
  <si>
    <t>docs.nvidia.com/cuda/cuda-c-programming-guide/index.html#hardware-implementation</t>
  </si>
  <si>
    <t>Query your GPU's SM count/warp size with a small CUDA device-query program</t>
  </si>
  <si>
    <t>Why does a GPU favor thousands of simple cores over a few complex ones? | What's the relationship between an SM and the warps it schedules?</t>
  </si>
  <si>
    <t>NVIDIA's own CUDA C Programming Guide is the definitive free reference for this whole sheet.</t>
  </si>
  <si>
    <t>CUDA Programming</t>
  </si>
  <si>
    <t>Kernels, grids, blocks, threads</t>
  </si>
  <si>
    <t>GPU Architecture, C/C++</t>
  </si>
  <si>
    <t>Write and launch a basic CUDA kernel, understanding the grid/block/thread hierarchy.</t>
  </si>
  <si>
    <t>freeCodeCamp - CUDA Programming Course (full free course)</t>
  </si>
  <si>
    <t>NVIDIA CUDA C Programming Guide Ch.2-3 (free)</t>
  </si>
  <si>
    <t>docs.nvidia.com/cuda/cuda-c-programming-guide/</t>
  </si>
  <si>
    <t>Write a CUDA kernel for element-wise vector addition and benchmark vs CPU NumPy</t>
  </si>
  <si>
    <t>Implement a tiled matrix multiplication CUDA kernel</t>
  </si>
  <si>
    <t>How do you choose block size and grid size for a given problem? | What determines whether a kernel launch is compute- or memory-bound?</t>
  </si>
  <si>
    <t>freeCodeCamp's course is a genuinely excellent, free, hands-on introduction.</t>
  </si>
  <si>
    <t>PTX</t>
  </si>
  <si>
    <t>Parallel Thread Execution intermediate representation</t>
  </si>
  <si>
    <t>Understand PTX as CUDA's portable intermediate assembly-like representation.</t>
  </si>
  <si>
    <t>NVIDIA - PTX ISA overview (official GTC talk)</t>
  </si>
  <si>
    <t>NVIDIA PTX ISA reference documentation (free)</t>
  </si>
  <si>
    <t>docs.nvidia.com/cuda/parallel-thread-execution/</t>
  </si>
  <si>
    <t>Inspect the PTX output of a simple CUDA kernel with nvcc -ptx</t>
  </si>
  <si>
    <t>Why does CUDA compile to PTX before SASS (device-specific machine code)? | How does PTX enable forward compatibility across GPU generations?</t>
  </si>
  <si>
    <t>Understanding PTX matters when writing Triton kernels or debugging compiler output.</t>
  </si>
  <si>
    <t>Tensor Cores</t>
  </si>
  <si>
    <t>Mixed-precision matrix-multiply-accumulate units</t>
  </si>
  <si>
    <t>GPU Architecture, Linear Algebra</t>
  </si>
  <si>
    <t>Understand how Tensor Cores accelerate the matmuls that dominate deep learning compute.</t>
  </si>
  <si>
    <t>NVIDIA - Tensor Core Programming (official GTC talk)</t>
  </si>
  <si>
    <t>NVIDIA Tensor Core programming guide (free)</t>
  </si>
  <si>
    <t>docs.nvidia.com/cuda/cuda-c-programming-guide/#warp-matrix-functions</t>
  </si>
  <si>
    <t>Compare FP32 vs TF32/FP16 Tensor Core matmul throughput on your GPU</t>
  </si>
  <si>
    <t>Why do Tensor Cores require specific matrix tile shapes to reach peak throughput? | What precision tradeoffs come with TF32 vs FP16 vs BF16 Tensor Core paths?</t>
  </si>
  <si>
    <t>Directly explains why mixed-precision training gives large real-world speedups.</t>
  </si>
  <si>
    <t>Memory Hierarchy &amp; Scheduling</t>
  </si>
  <si>
    <t>Shared Memory</t>
  </si>
  <si>
    <t>On-chip scratchpad memory &amp; bank conflicts</t>
  </si>
  <si>
    <t>Use shared memory to avoid repeated global-memory round trips within a block.</t>
  </si>
  <si>
    <t>NVIDIA - CUDA Shared Memory optimization (official GTC talk)</t>
  </si>
  <si>
    <t>NVIDIA CUDA Best Practices Guide Ch.9 (free)</t>
  </si>
  <si>
    <t>docs.nvidia.com/cuda/cuda-c-best-practices-guide/index.html#shared-memory</t>
  </si>
  <si>
    <t>Rewrite a naive matmul kernel to use shared-memory tiling and benchmark the speedup</t>
  </si>
  <si>
    <t>What causes a shared-memory bank conflict and how do you avoid it? | Why is shared memory an order of magnitude faster than global memory?</t>
  </si>
  <si>
    <t>Tiled matmul with shared memory is the canonical CUDA optimization exercise.</t>
  </si>
  <si>
    <t>Warp Scheduling</t>
  </si>
  <si>
    <t>Warp divergence &amp; scheduler occupancy</t>
  </si>
  <si>
    <t>CUDA Programming, GPU Architecture</t>
  </si>
  <si>
    <t>Understand how branch divergence within a warp serializes execution.</t>
  </si>
  <si>
    <t>NVIDIA - Warp-level programming (official GTC talk)</t>
  </si>
  <si>
    <t>NVIDIA CUDA Best Practices Guide Ch.10 (free)</t>
  </si>
  <si>
    <t>docs.nvidia.com/cuda/cuda-c-programming-guide/#simt-architecture</t>
  </si>
  <si>
    <t>Write a kernel with intentional warp divergence and measure the slowdown</t>
  </si>
  <si>
    <t>Why does an if/else branch inside a warp cause serialized execution of both paths? | How do warp-level primitives (__shfl_sync) avoid shared memory for small reductions?</t>
  </si>
  <si>
    <t>Divergence is one of the most common silent-performance-killers in naive CUDA code.</t>
  </si>
  <si>
    <t>Memory Coalescing</t>
  </si>
  <si>
    <t>Aligned, contiguous global-memory access patterns</t>
  </si>
  <si>
    <t>Structure memory access patterns so a warp's loads merge into few transactions.</t>
  </si>
  <si>
    <t>NVIDIA - Global Memory coalescing (official GTC talk)</t>
  </si>
  <si>
    <t>NVIDIA CUDA Best Practices Guide Ch.9.2 (free)</t>
  </si>
  <si>
    <t>docs.nvidia.com/cuda/cuda-c-best-practices-guide/index.html#coalesced-access-to-global-memory</t>
  </si>
  <si>
    <t>Compare a coalesced vs strided-access kernel's memory throughput</t>
  </si>
  <si>
    <t>What makes a memory access pattern 'coalesced' from a warp's perspective? | Why does column-major vs row-major matrix layout affect coalescing?</t>
  </si>
  <si>
    <t>This single concept explains a large fraction of real-world CUDA kernel slowdowns.</t>
  </si>
  <si>
    <t>Occupancy</t>
  </si>
  <si>
    <t>Balancing registers, shared memory, and thread count</t>
  </si>
  <si>
    <t>Warp Scheduling, Shared Memory</t>
  </si>
  <si>
    <t>Tune kernel resource usage to maximize the number of resident warps per SM.</t>
  </si>
  <si>
    <t>NVIDIA - Occupancy Calculator &amp; tuning (official GTC talk)</t>
  </si>
  <si>
    <t>NVIDIA CUDA Occupancy Calculator documentation (free)</t>
  </si>
  <si>
    <t>docs.nvidia.com/cuda/cuda-occupancy-calculator/index.html</t>
  </si>
  <si>
    <t>Use the CUDA occupancy calculator to tune a kernel's block size for max occupancy</t>
  </si>
  <si>
    <t>Why doesn't maximum occupancy always mean maximum performance? | What resource (registers, shared memory, threads) is usually the limiting factor?</t>
  </si>
  <si>
    <t>High occupancy is necessary but not sufficient — a nuance that separates strong candidates.</t>
  </si>
  <si>
    <t>Streams, Fusion &amp; Modern Tooling</t>
  </si>
  <si>
    <t>Streams</t>
  </si>
  <si>
    <t>Overlapping compute and data transfer</t>
  </si>
  <si>
    <t>Use CUDA streams to overlap kernel execution with host-device memory transfers.</t>
  </si>
  <si>
    <t>NVIDIA - CUDA Streams &amp; Concurrency (official GTC talk)</t>
  </si>
  <si>
    <t>NVIDIA CUDA C Programming Guide Ch.3.2.5 (free)</t>
  </si>
  <si>
    <t>docs.nvidia.com/cuda/cuda-c-programming-guide/#asynchronous-concurrent-execution</t>
  </si>
  <si>
    <t>Overlap a memcpy and kernel execution using two CUDA streams and measure the win</t>
  </si>
  <si>
    <t>Why does overlapping transfer and compute require pinned host memory? | How many concurrent streams actually help before hardware limits saturate?</t>
  </si>
  <si>
    <t>Directly relevant to hiding PCIe transfer latency in a training/inference pipeline.</t>
  </si>
  <si>
    <t>Kernel Fusion</t>
  </si>
  <si>
    <t>Fusing multiple ops into a single kernel launch</t>
  </si>
  <si>
    <t>CUDA Programming, Streams</t>
  </si>
  <si>
    <t>Understand how fusing ops reduces kernel-launch overhead and memory round trips.</t>
  </si>
  <si>
    <t>NVIDIA/PyTorch - torch.compile &amp; kernel fusion (official talk)</t>
  </si>
  <si>
    <t>PyTorch 2.0 - torch.compile technical overview (free blog)</t>
  </si>
  <si>
    <t>pytorch.org/docs/stable/torch.compiler.html</t>
  </si>
  <si>
    <t>Compare unfused vs fused elementwise op throughput using torch.compile</t>
  </si>
  <si>
    <t>Why does fusing elementwise ops reduce memory bandwidth pressure specifically? | How does torch.compile decide what to fuse automatically?</t>
  </si>
  <si>
    <t>This is exactly what torch.compile (via Triton/Inductor) automates under the hood.</t>
  </si>
  <si>
    <t>CUDA Graphs</t>
  </si>
  <si>
    <t>Capturing and replaying kernel launch sequences</t>
  </si>
  <si>
    <t>Streams, Kernel Fusion</t>
  </si>
  <si>
    <t>Understand how CUDA graphs eliminate per-kernel launch overhead for repeated workloads.</t>
  </si>
  <si>
    <t>NVIDIA - CUDA Graphs deep dive (official GTC talk)</t>
  </si>
  <si>
    <t>NVIDIA CUDA C Programming Guide Ch.3.2.9 (free)</t>
  </si>
  <si>
    <t>docs.nvidia.com/cuda/cuda-c-programming-guide/#cuda-graphs</t>
  </si>
  <si>
    <t>Capture a small multi-kernel sequence as a CUDA graph and benchmark replay vs re-launch</t>
  </si>
  <si>
    <t>Why does launch overhead matter more for many-small-kernel workloads (like LLM inference)? | What's captured in a CUDA graph vs re-executed each replay?</t>
  </si>
  <si>
    <t>Increasingly important for reducing CPU-side launch overhead in LLM inference loops.</t>
  </si>
  <si>
    <t>Triton</t>
  </si>
  <si>
    <t>Python-level GPU kernel authoring</t>
  </si>
  <si>
    <t>CUDA Programming basics, Python</t>
  </si>
  <si>
    <t>Write custom GPU kernels in Triton without hand-writing CUDA C++.</t>
  </si>
  <si>
    <t>OpenAI - Triton official tutorial series (free)</t>
  </si>
  <si>
    <t>Triton official documentation &amp; tutorials (free)</t>
  </si>
  <si>
    <t>triton-lang.org/main/index.html</t>
  </si>
  <si>
    <t>Write a fused softmax kernel in Triton and benchmark against PyTorch's native op</t>
  </si>
  <si>
    <t>Write a custom fused attention kernel in Triton</t>
  </si>
  <si>
    <t>Why does Triton let you reach near-hand-tuned-CUDA performance with far less code? | How does Triton's block-level programming model differ from raw CUDA's thread-level model?</t>
  </si>
  <si>
    <t>The pragmatic modern path to custom kernels without deep raw-CUDA expertise.</t>
  </si>
  <si>
    <t>Nsight</t>
  </si>
  <si>
    <t>NVIDIA's profiling &amp; debugging toolset</t>
  </si>
  <si>
    <t>Use Nsight Systems/Compute to profile and debug real CUDA kernels.</t>
  </si>
  <si>
    <t>NVIDIA - Nsight Systems &amp; Compute tutorial (official GTC talk)</t>
  </si>
  <si>
    <t>NVIDIA Nsight Systems/Compute documentation (free)</t>
  </si>
  <si>
    <t>developer.nvidia.com/nsight-systems</t>
  </si>
  <si>
    <t>Profile a CUDA kernel with Nsight Compute and identify its limiting resource</t>
  </si>
  <si>
    <t>How do you distinguish a memory-bound from a compute-bound kernel in Nsight Compute? | What does Nsight Systems show that Nsight Compute doesn't (timeline vs per-kernel)?</t>
  </si>
  <si>
    <t>The professional-grade equivalent of perf/flamegraphs, but for GPU code.</t>
  </si>
  <si>
    <t>Roofline model &amp; bottleneck identification</t>
  </si>
  <si>
    <t>Nsight, Occupancy</t>
  </si>
  <si>
    <t>Use the roofline model to determine whether a kernel is compute- or memory-bound.</t>
  </si>
  <si>
    <t>NVIDIA - Roofline analysis with Nsight Compute (official GTC talk)</t>
  </si>
  <si>
    <t>NVIDIA roofline model application notes (free)</t>
  </si>
  <si>
    <t>docs.nvidia.com/nsight-compute/NsightCompute/index.html#roofline-charts</t>
  </si>
  <si>
    <t>Plot a kernel's achieved performance against the roofline model for your GPU</t>
  </si>
  <si>
    <t>How do you compute a kernel's arithmetic intensity for the roofline model? | Why does a memory-bound kernel not benefit from more compute (Tensor Cores)?</t>
  </si>
  <si>
    <t>Ties GPU architecture, memory coalescing, and occupancy together into one diagnostic framework.</t>
  </si>
  <si>
    <t>Performance Optimization</t>
  </si>
  <si>
    <t>End-to-end CUDA kernel optimization workflow</t>
  </si>
  <si>
    <t>All CUDA topics above</t>
  </si>
  <si>
    <t>Apply a systematic optimization workflow: profile, identify bottleneck, fix, repeat.</t>
  </si>
  <si>
    <t>NVIDIA - GPU Performance Optimization workflow (official GTC talk)</t>
  </si>
  <si>
    <t>NVIDIA CUDA Best Practices Guide Ch.1-2 (free, workflow overview)</t>
  </si>
  <si>
    <t>docs.nvidia.com/cuda/cuda-c-best-practices-guide/</t>
  </si>
  <si>
    <t>Take a naive kernel through 3+ optimization passes, benchmarking each step</t>
  </si>
  <si>
    <t>Optimize a real attention or matmul kernel from naive to near-peak throughput</t>
  </si>
  <si>
    <t>What's the right order to check bottlenecks (occupancy, coalescing, divergence, etc)? | How do you know when a kernel is 'good enough' to stop optimizing?</t>
  </si>
  <si>
    <t>This row is the capstone exercise for the whole CUDA sheet.</t>
  </si>
  <si>
    <t>Consensus, streaming infra, and the specific parallelism strategies behind large-model training.</t>
  </si>
  <si>
    <t>Sheet Progress  —  22 topics total</t>
  </si>
  <si>
    <t>Consensus &amp; Fundamentals</t>
  </si>
  <si>
    <t>CAP</t>
  </si>
  <si>
    <t>Consistency, Availability, Partition tolerance tradeoff</t>
  </si>
  <si>
    <t>Distributed systems fundamentals</t>
  </si>
  <si>
    <t>Understand what CAP actually constrains (and commonly misunderstood nuances).</t>
  </si>
  <si>
    <t>MIT 6.824 - Distributed Systems (Robert Morris, free full course)</t>
  </si>
  <si>
    <t>'Designing Data-Intensive Applications' Ch.9 (Kleppmann)</t>
  </si>
  <si>
    <t>Why is CAP really about behavior during a partition, not a permanent 3-way tradeoff? | What is PACELC and what does it add to CAP?</t>
  </si>
  <si>
    <t>MIT 6.824 is the gold-standard free distributed systems course.</t>
  </si>
  <si>
    <t>Raft</t>
  </si>
  <si>
    <t>Leader election &amp; log replication consensus</t>
  </si>
  <si>
    <t>Understand Raft's mechanism for maintaining a consistent replicated log despite failures.</t>
  </si>
  <si>
    <t>MIT 6.824 - Raft lectures (Robert Morris, free)</t>
  </si>
  <si>
    <t>'In Search of an Understandable Consensus Algorithm' (Raft paper, Ongaro &amp; Ousterhout, free)</t>
  </si>
  <si>
    <t>raft.github.io</t>
  </si>
  <si>
    <t>Implement leader election for a simplified Raft cluster in Python</t>
  </si>
  <si>
    <t>Implement a toy Raft-based replicated key-value store</t>
  </si>
  <si>
    <t>How does Raft guarantee log entries, once committed, are never lost? | What happens during a Raft leader election with a split vote?</t>
  </si>
  <si>
    <t>raft.github.io has an excellent interactive visualization of the algorithm.</t>
  </si>
  <si>
    <t>Paxos</t>
  </si>
  <si>
    <t>Classic consensus protocol &amp; Multi-Paxos</t>
  </si>
  <si>
    <t>Understand Paxos as the theoretical precursor to Raft, and why Raft is more understandable.</t>
  </si>
  <si>
    <t>MIT 6.824 - Paxos lecture (Robert Morris, free)</t>
  </si>
  <si>
    <t>'Paxos Made Simple' (Lamport, free paper)</t>
  </si>
  <si>
    <t>Why is Paxos notoriously hard to implement correctly compared to Raft? | What problem does Multi-Paxos solve over single-decree Paxos?</t>
  </si>
  <si>
    <t>Understanding both Paxos and Raft signals real consensus-protocol depth.</t>
  </si>
  <si>
    <t>Streaming, Data &amp; Orchestration</t>
  </si>
  <si>
    <t>Kafka</t>
  </si>
  <si>
    <t>Log-based pub/sub, partitions, consumer groups</t>
  </si>
  <si>
    <t>Understand Kafka's append-only log model and how partitioning enables parallelism.</t>
  </si>
  <si>
    <t>Confluent - Kafka Internals (official free course)</t>
  </si>
  <si>
    <t>Kafka official documentation - Design section (free)</t>
  </si>
  <si>
    <t>kafka.apache.org/documentation/#design</t>
  </si>
  <si>
    <t>Produce/consume messages across multiple partitions and observe consumer-group rebalancing</t>
  </si>
  <si>
    <t>Build an event-driven pipeline using Kafka between two services</t>
  </si>
  <si>
    <t>Why does partition count set the upper bound on consumer parallelism? | How does Kafka guarantee ordering within a partition but not across partitions?</t>
  </si>
  <si>
    <t>Confluent's free courses are the best vendor-produced deep dive available.</t>
  </si>
  <si>
    <t>Redis</t>
  </si>
  <si>
    <t>Data structures, persistence (RDB/AOF), pub/sub</t>
  </si>
  <si>
    <t>Caching concepts</t>
  </si>
  <si>
    <t>Go beyond basic caching to Redis's persistence and pub/sub capabilities.</t>
  </si>
  <si>
    <t>Redis official - Redis University RU101 (free course)</t>
  </si>
  <si>
    <t>Redis official documentation (free)</t>
  </si>
  <si>
    <t>redis.io/docs/latest/</t>
  </si>
  <si>
    <t>Compare RDB snapshotting vs AOF durability tradeoffs experimentally</t>
  </si>
  <si>
    <t>What's the durability/performance tradeoff between RDB and AOF persistence? | How does Redis pub/sub differ from a durable queue like Kafka?</t>
  </si>
  <si>
    <t>Given your existing Redis experience, focus here on persistence/durability nuances you may not have used yet.</t>
  </si>
  <si>
    <t>Ray</t>
  </si>
  <si>
    <t>Distributed Python for ML workloads, actors &amp; tasks</t>
  </si>
  <si>
    <t>Multiprocessing (Python sheet)</t>
  </si>
  <si>
    <t>Understand Ray's actor/task abstractions for distributed Python compute.</t>
  </si>
  <si>
    <t>Anyscale - Ray Core official crash course (free)</t>
  </si>
  <si>
    <t>Ray official documentation - Ray Core concepts (free)</t>
  </si>
  <si>
    <t>docs.ray.io/en/latest/ray-core/walkthrough.html</t>
  </si>
  <si>
    <t>Parallelize a data-preprocessing pipeline across a local Ray cluster</t>
  </si>
  <si>
    <t>Build a distributed hyperparameter sweep using Ray Tune</t>
  </si>
  <si>
    <t>When would you use a Ray actor instead of a stateless task? | How does Ray's scheduler place tasks across a cluster?</t>
  </si>
  <si>
    <t>Ray is increasingly the default for distributed LLM training/serving orchestration in Python.</t>
  </si>
  <si>
    <t>Spark</t>
  </si>
  <si>
    <t>RDDs/DataFrames, lazy evaluation, shuffle</t>
  </si>
  <si>
    <t>Understand Spark's lazy execution model and why shuffles are expensive.</t>
  </si>
  <si>
    <t>Databricks - Apache Spark official crash course (free)</t>
  </si>
  <si>
    <t>Spark official documentation - RDD Programming Guide (free)</t>
  </si>
  <si>
    <t>spark.apache.org/docs/latest/rdd-programming-guide.html</t>
  </si>
  <si>
    <t>Profile a Spark job's stages and identify a shuffle-heavy bottleneck</t>
  </si>
  <si>
    <t>Why is a shuffle the most expensive operation in a Spark job? | What does Spark's lazy evaluation (DAG of transformations) optimize for?</t>
  </si>
  <si>
    <t>Relevant to large-scale pretraining-data preprocessing pipelines.</t>
  </si>
  <si>
    <t>Flink</t>
  </si>
  <si>
    <t>Stream processing with exactly-once semantics</t>
  </si>
  <si>
    <t>Understand how Flink achieves exactly-once processing guarantees via checkpointing.</t>
  </si>
  <si>
    <t>Ververica (Flink creators) - Flink official crash course (free)</t>
  </si>
  <si>
    <t>Flink official documentation - Concepts (free)</t>
  </si>
  <si>
    <t>nightlies.apache.org/flink/flink-docs-stable/docs/concepts/overview/</t>
  </si>
  <si>
    <t>How does Flink's checkpointing (Chandy-Lamport-based) enable exactly-once semantics? | When would you choose Flink over Spark Streaming?</t>
  </si>
  <si>
    <t>Less commonly needed day-to-day but a strong 'real-time systems depth' signal.</t>
  </si>
  <si>
    <t>Kubernetes</t>
  </si>
  <si>
    <t>Pods, deployments, autoscaling, scheduling</t>
  </si>
  <si>
    <t>Docker</t>
  </si>
  <si>
    <t>Understand how Kubernetes schedules and manages containerized workloads at scale.</t>
  </si>
  <si>
    <t>TechWorld with Nana - Kubernetes crash course (free)</t>
  </si>
  <si>
    <t>Kubernetes official documentation - Concepts (free)</t>
  </si>
  <si>
    <t>kubernetes.io/docs/concepts/</t>
  </si>
  <si>
    <t>Deploy a containerized service to a local Kubernetes cluster (kind/minikube) with autoscaling</t>
  </si>
  <si>
    <t>Deploy a model-serving container behind a Kubernetes HPA (horizontal pod autoscaler)</t>
  </si>
  <si>
    <t>How does the Kubernetes scheduler decide which node runs a pod? | What triggers a horizontal pod autoscaler to scale up/down?</t>
  </si>
  <si>
    <t>Given your Docker background, this is the natural next layer up.</t>
  </si>
  <si>
    <t>Multi-stage builds, layer caching, networking</t>
  </si>
  <si>
    <t>Containers fundamentals</t>
  </si>
  <si>
    <t>Go beyond basic Docker usage into build efficiency and networking internals.</t>
  </si>
  <si>
    <t>TechWorld with Nana - Docker deep dive (free)</t>
  </si>
  <si>
    <t>Docker official documentation - Build guide (free)</t>
  </si>
  <si>
    <t>docs.docker.com/build/building/best-practices/</t>
  </si>
  <si>
    <t>Optimize a slow Docker build using multi-stage builds and layer-cache ordering</t>
  </si>
  <si>
    <t>Why does layer order in a Dockerfile affect build cache efficiency? | How does a multi-stage build reduce final image size?</t>
  </si>
  <si>
    <t>Quick refresher sheet since this is already a known strength for you.</t>
  </si>
  <si>
    <t>Service Mesh</t>
  </si>
  <si>
    <t>Sidecar pattern, traffic management, mTLS</t>
  </si>
  <si>
    <t>Envoy (Networking sheet), Kubernetes</t>
  </si>
  <si>
    <t>Understand what a service mesh adds on top of raw Kubernetes networking.</t>
  </si>
  <si>
    <t>Istio official - Service Mesh explained (official talk)</t>
  </si>
  <si>
    <t>Istio official documentation - Concepts (free)</t>
  </si>
  <si>
    <t>istio.io/latest/docs/concepts/what-is-istio/</t>
  </si>
  <si>
    <t>What does a service mesh provide that Kubernetes networking alone doesn't (mTLS, retries, observability)? | Why is the sidecar pattern used instead of a shared library?</t>
  </si>
  <si>
    <t>Builds directly on the Envoy row in the Networking sheet.</t>
  </si>
  <si>
    <t>Microservices</t>
  </si>
  <si>
    <t>Decomposition boundaries &amp; distributed-system tradeoffs</t>
  </si>
  <si>
    <t>Service Mesh, RPC</t>
  </si>
  <si>
    <t>Understand when microservices' operational cost is worth their decoupling benefit.</t>
  </si>
  <si>
    <t>MIT 6.824 adjacent - Microservices tradeoffs talk (conference talks)</t>
  </si>
  <si>
    <t>'Designing Data-Intensive Applications' Ch.4 (schema evolution, service boundaries)</t>
  </si>
  <si>
    <t>What operational costs does splitting a monolith into microservices introduce? | How do you choose service boundaries (by data ownership vs by team)?</t>
  </si>
  <si>
    <t>A common 'when would you NOT use microservices' senior-level question.</t>
  </si>
  <si>
    <t>Distributed Training &amp; Checkpointing</t>
  </si>
  <si>
    <t>Distributed Training</t>
  </si>
  <si>
    <t>Why single-GPU training doesn't scale to modern LLM sizes</t>
  </si>
  <si>
    <t>Understand the memory and compute limits that force distributed training strategies.</t>
  </si>
  <si>
    <t>Hugging Face - Efficient Training on Multiple GPUs (official course video)</t>
  </si>
  <si>
    <t>Hugging Face documentation - Model Parallelism guide (free)</t>
  </si>
  <si>
    <t>huggingface.co/docs/transformers/en/perf_train_gpu_many</t>
  </si>
  <si>
    <t>Estimate the GPU memory required to train a 7B parameter model with Adam</t>
  </si>
  <si>
    <t>Why does the optimizer state (not just weights) dominate memory for Adam-trained models? | At what model size does a single GPU's memory become the binding constraint?</t>
  </si>
  <si>
    <t>Sets up the specific parallelism strategies covered in the rows below.</t>
  </si>
  <si>
    <t>Tensor Parallelism</t>
  </si>
  <si>
    <t>Splitting individual layers/matmuls across GPUs</t>
  </si>
  <si>
    <t>Distributed Training, Linear Algebra</t>
  </si>
  <si>
    <t>Understand how a single matmul is split across GPUs within a layer.</t>
  </si>
  <si>
    <t>Hugging Face - Tensor Parallelism explained (official course video)</t>
  </si>
  <si>
    <t>Megatron-LM paper (Shoeybi et al, free arXiv)</t>
  </si>
  <si>
    <t>huggingface.co/docs/transformers/en/perf_train_gpu_many#tensor-parallelism</t>
  </si>
  <si>
    <t>Trace through how a column-parallel then row-parallel matmul pair avoids an extra communication step</t>
  </si>
  <si>
    <t>Why does Megatron-style tensor parallelism pair column-parallel and row-parallel layers? | What communication pattern (all-reduce) does tensor parallelism require per layer?</t>
  </si>
  <si>
    <t>Directly explains Megatron-LM's core design used to train many large models.</t>
  </si>
  <si>
    <t>Pipeline Parallelism</t>
  </si>
  <si>
    <t>Splitting layers across GPUs &amp; pipeline bubbles</t>
  </si>
  <si>
    <t>Understand how splitting a model by layer across GPUs introduces pipeline bubbles.</t>
  </si>
  <si>
    <t>Hugging Face - Pipeline Parallelism explained (official course video)</t>
  </si>
  <si>
    <t>GPipe paper (Huang et al, free arXiv)</t>
  </si>
  <si>
    <t>huggingface.co/docs/transformers/en/perf_train_gpu_many#pipeline-parallelism</t>
  </si>
  <si>
    <t>Simulate pipeline bubble overhead for different micro-batch counts</t>
  </si>
  <si>
    <t>What causes a 'pipeline bubble' and how does micro-batching reduce it? | Why must activation memory be kept for the entire pipeline depth?</t>
  </si>
  <si>
    <t>The bubble-overhead math here is a common quantitative interview question.</t>
  </si>
  <si>
    <t>Data Parallelism</t>
  </si>
  <si>
    <t>Replicated model, sharded data, gradient all-reduce</t>
  </si>
  <si>
    <t>Understand the simplest and most common form of distributed training.</t>
  </si>
  <si>
    <t>Hugging Face - Data Parallelism explained (official course video)</t>
  </si>
  <si>
    <t>PyTorch DDP official documentation (free)</t>
  </si>
  <si>
    <t>pytorch.org/tutorials/intermediate/ddp_tutorial.html</t>
  </si>
  <si>
    <t>Train a small model with PyTorch DistributedDataParallel across 2+ simulated workers</t>
  </si>
  <si>
    <t>Why does data parallelism require an all-reduce of gradients every step? | What limits data parallelism's scaling (communication bandwidth)?</t>
  </si>
  <si>
    <t>The baseline everyone starts with before reaching for tensor/pipeline parallelism.</t>
  </si>
  <si>
    <t>FSDP</t>
  </si>
  <si>
    <t>Fully Sharded Data Parallel — sharding optimizer/gradients/weights</t>
  </si>
  <si>
    <t>Data Parallelism, ZeRO</t>
  </si>
  <si>
    <t>Understand how FSDP shards model state across GPUs to fit larger models than DDP allows.</t>
  </si>
  <si>
    <t>PyTorch - FSDP official deep dive (official talk)</t>
  </si>
  <si>
    <t>PyTorch FSDP official documentation (free)</t>
  </si>
  <si>
    <t>pytorch.org/docs/stable/fsdp.html</t>
  </si>
  <si>
    <t>Train a model with PyTorch FSDP and compare peak memory usage to plain DDP</t>
  </si>
  <si>
    <t>What does FSDP shard that plain DDP doesn't (optimizer state, gradients, weights)? | How does FSDP's all-gather-before-compute pattern trade communication for memory?</t>
  </si>
  <si>
    <t>PyTorch's native answer to DeepSpeed's ZeRO, directly comparable to it.</t>
  </si>
  <si>
    <t>DeepSpeed</t>
  </si>
  <si>
    <t>Microsoft's distributed training optimization library</t>
  </si>
  <si>
    <t>FSDP, ZeRO</t>
  </si>
  <si>
    <t>Understand DeepSpeed's suite of memory/compute optimizations beyond FSDP alone.</t>
  </si>
  <si>
    <t>Microsoft - DeepSpeed official deep dive (official talk)</t>
  </si>
  <si>
    <t>DeepSpeed official documentation (free)</t>
  </si>
  <si>
    <t>deepspeed.readthedocs.io/en/latest/</t>
  </si>
  <si>
    <t>Configure DeepSpeed ZeRO stage 2/3 for a training run and compare memory to FSDP</t>
  </si>
  <si>
    <t>What extra optimizations does DeepSpeed offer beyond ZeRO (e.g. offloading, 1-bit Adam)? | When would you choose DeepSpeed over native PyTorch FSDP?</t>
  </si>
  <si>
    <t>Still widely used in industry training stacks alongside/instead of FSDP.</t>
  </si>
  <si>
    <t>NCCL</t>
  </si>
  <si>
    <t>NVIDIA Collective Communications Library primitives</t>
  </si>
  <si>
    <t>GPU Architecture (CUDA sheet)</t>
  </si>
  <si>
    <t>Understand the low-level collective-communication primitives distributed training relies on.</t>
  </si>
  <si>
    <t>NVIDIA - NCCL overview (official GTC talk)</t>
  </si>
  <si>
    <t>NVIDIA NCCL official documentation (free)</t>
  </si>
  <si>
    <t>docs.nvidia.com/deeplearning/nccl/user-guide/docs/index.html</t>
  </si>
  <si>
    <t>Benchmark NCCL all-reduce bandwidth across your available GPUs</t>
  </si>
  <si>
    <t>Why is NCCL's ring all-reduce bandwidth-optimal for large tensors? | How does NCCL topology-awareness (NVLink vs PCIe) affect performance?</t>
  </si>
  <si>
    <t>The actual communication library underneath PyTorch DDP/FSDP's all-reduce calls.</t>
  </si>
  <si>
    <t>AllReduce</t>
  </si>
  <si>
    <t>Ring all-reduce &amp; tree all-reduce algorithms</t>
  </si>
  <si>
    <t>Understand the specific communication pattern that synchronizes gradients across GPUs.</t>
  </si>
  <si>
    <t>Uber/Horovod - Ring All-Reduce explained (official blog talk)</t>
  </si>
  <si>
    <t>Horovod - 'Meet Horovod' blog post on ring all-reduce (free)</t>
  </si>
  <si>
    <t>github.com/horovod/horovod</t>
  </si>
  <si>
    <t>Implement a toy ring all-reduce in Python across simulated worker processes</t>
  </si>
  <si>
    <t>Why is ring all-reduce's bandwidth cost independent of the number of workers? | When does tree all-reduce outperform ring all-reduce (latency-bound regimes)?</t>
  </si>
  <si>
    <t>The algorithmic core that makes multi-GPU gradient synchronization scale.</t>
  </si>
  <si>
    <t>ZeRO</t>
  </si>
  <si>
    <t>Zero Redundancy Optimizer — stages 1/2/3</t>
  </si>
  <si>
    <t>Data Parallelism, AllReduce</t>
  </si>
  <si>
    <t>Understand how ZeRO progressively shards optimizer state, gradients, and parameters.</t>
  </si>
  <si>
    <t>Microsoft - ZeRO paper walkthrough (official talk)</t>
  </si>
  <si>
    <t>ZeRO paper (Rajbhandari et al, free arXiv)</t>
  </si>
  <si>
    <t>deepspeed.readthedocs.io/en/latest/zero3.html</t>
  </si>
  <si>
    <t>Compare memory usage across ZeRO stages 1, 2, and 3 for the same model size</t>
  </si>
  <si>
    <t>What does each ZeRO stage (1/2/3) additionally shard? | What's the communication-volume cost of moving from stage 2 to stage 3?</t>
  </si>
  <si>
    <t>FSDP is essentially PyTorch's native implementation of ZeRO stage 3 ideas.</t>
  </si>
  <si>
    <t>Checkpointing</t>
  </si>
  <si>
    <t>Activation checkpointing &amp; distributed checkpoint saving</t>
  </si>
  <si>
    <t>Distributed Training, Gradient Flow</t>
  </si>
  <si>
    <t>Trade recomputation for memory savings, and save/restore huge sharded checkpoints reliably.</t>
  </si>
  <si>
    <t>Hugging Face - Gradient/Activation Checkpointing explained (official course video)</t>
  </si>
  <si>
    <t>PyTorch documentation - torch.utils.checkpoint (free)</t>
  </si>
  <si>
    <t>pytorch.org/docs/stable/checkpoint.html</t>
  </si>
  <si>
    <t>Enable activation checkpointing on a deep model and measure the memory/speed tradeoff</t>
  </si>
  <si>
    <t>Build a checkpoint-and-resume training loop robust to mid-run crashes</t>
  </si>
  <si>
    <t>Why does activation checkpointing trade compute for memory (recomputing forward activations)? | What makes checkpointing a multi-terabyte sharded model operationally hard?</t>
  </si>
  <si>
    <t>Directly relevant to your Airflow background for building resumable training pipelines.</t>
  </si>
  <si>
    <t>At least one paper worth reading per major LLM-engineering concept. Read/Implemented are checkboxes; Importance and Priority are dropdowns.</t>
  </si>
  <si>
    <t>72 papers tracked</t>
  </si>
  <si>
    <t>Paper</t>
  </si>
  <si>
    <t>Authors</t>
  </si>
  <si>
    <t>Year</t>
  </si>
  <si>
    <t>Category</t>
  </si>
  <si>
    <t>Read</t>
  </si>
  <si>
    <t>Implemented</t>
  </si>
  <si>
    <t>Summary</t>
  </si>
  <si>
    <t>GitHub Implementation</t>
  </si>
  <si>
    <t>Importance</t>
  </si>
  <si>
    <t>Priority</t>
  </si>
  <si>
    <t>Foundational Architecture</t>
  </si>
  <si>
    <t>Attention Is All You Need</t>
  </si>
  <si>
    <t>Vaswani, Shazeer, Parmar et al.</t>
  </si>
  <si>
    <t>Introduces the Transformer: self-attention replacing recurrence/convolution entirely for sequence modeling.</t>
  </si>
  <si>
    <t>github.com/tensorflow/tensor2tensor</t>
  </si>
  <si>
    <t>Foundational</t>
  </si>
  <si>
    <t>High</t>
  </si>
  <si>
    <t>BERT: Pre-training of Deep Bidirectional Transformers</t>
  </si>
  <si>
    <t>Devlin, Chang, Lee, Toutanova</t>
  </si>
  <si>
    <t>Bidirectional masked-LM pretraining that set the template for encoder-only transfer learning.</t>
  </si>
  <si>
    <t>github.com/google-research/bert</t>
  </si>
  <si>
    <t>Medium</t>
  </si>
  <si>
    <t>Improving Language Understanding by Generative Pre-Training (GPT-1)</t>
  </si>
  <si>
    <t>Radford, Narasimhan, Salimans, Sutskever</t>
  </si>
  <si>
    <t>Establishes decoder-only autoregressive pretraining + fine-tuning as a scalable NLP recipe.</t>
  </si>
  <si>
    <t>Language Models are Unsupervised Multitask Learners (GPT-2)</t>
  </si>
  <si>
    <t>Radford, Wu, Child et al.</t>
  </si>
  <si>
    <t>Shows that scaling decoder-only LMs yields emergent zero-shot task performance.</t>
  </si>
  <si>
    <t>github.com/openai/gpt-2</t>
  </si>
  <si>
    <t>Language Models are Few-Shot Learners (GPT-3)</t>
  </si>
  <si>
    <t>Brown, Mann, Ryder et al.</t>
  </si>
  <si>
    <t>Scaling to 175B parameters unlocks strong few-shot, in-context learning without fine-tuning.</t>
  </si>
  <si>
    <t>LLaMA: Open and Efficient Foundation Language Models</t>
  </si>
  <si>
    <t>Touvron, Lavril, Izacard et al.</t>
  </si>
  <si>
    <t>Shows smaller models trained on far more tokens can match/beat larger under-trained models.</t>
  </si>
  <si>
    <t>github.com/meta-llama/llama</t>
  </si>
  <si>
    <t>PaLM: Scaling Language Modeling with Pathways</t>
  </si>
  <si>
    <t>Chowdhery, Narang, Devlin et al.</t>
  </si>
  <si>
    <t>540B-parameter model study of scaling behavior and emergent capabilities across tasks.</t>
  </si>
  <si>
    <t>Important</t>
  </si>
  <si>
    <t>Gopher / Chinchilla: Training Compute-Optimal LLMs</t>
  </si>
  <si>
    <t>Hoffmann, Borgeaud, Mensch et al.</t>
  </si>
  <si>
    <t>Derives compute-optimal scaling laws showing most LLMs of the era were under-trained on data.</t>
  </si>
  <si>
    <t>Efficient Attention &amp; Inference</t>
  </si>
  <si>
    <t>FlashAttention: Fast and Memory-Efficient Exact Attention</t>
  </si>
  <si>
    <t>Dao, Fu, Ermon, Rudra, Ré</t>
  </si>
  <si>
    <t>IO-aware tiled attention kernel that avoids materializing the full attention matrix in HBM.</t>
  </si>
  <si>
    <t>FlashAttention-2: Faster Attention with Better Parallelism</t>
  </si>
  <si>
    <t>Dao</t>
  </si>
  <si>
    <t>Further work-partitioning and parallelism improvements over FlashAttention's original kernel.</t>
  </si>
  <si>
    <t>Efficient Memory Management for LLM Serving with PagedAttention (vLLM)</t>
  </si>
  <si>
    <t>Kwon, Li, Zhuang et al.</t>
  </si>
  <si>
    <t>Applies OS-style paging to the KV cache, eliminating fragmentation for high-throughput serving.</t>
  </si>
  <si>
    <t>github.com/vllm-project/vllm</t>
  </si>
  <si>
    <t>Fast Inference from Transformers via Speculative Decoding</t>
  </si>
  <si>
    <t>Leviathan, Kalman, Matias</t>
  </si>
  <si>
    <t>Uses a small draft model to propose tokens verified by the target model for lossless speedup.</t>
  </si>
  <si>
    <t>RoFormer: Enhanced Transformer with Rotary Position Embedding</t>
  </si>
  <si>
    <t>Su, Lu, Pan et al.</t>
  </si>
  <si>
    <t>Introduces RoPE, encoding relative position via rotation — now the default in most open LLMs.</t>
  </si>
  <si>
    <t>github.com/ZhuiyiTechnology/roformer</t>
  </si>
  <si>
    <t>Train Short, Test Long: Attention with Linear Biases (ALiBi)</t>
  </si>
  <si>
    <t>Press, Smith, Lewis</t>
  </si>
  <si>
    <t>A simpler linear-bias alternative to learned/rotary position embeddings for length extrapolation.</t>
  </si>
  <si>
    <t>github.com/ofirpress/attention_with_linear_biases</t>
  </si>
  <si>
    <t>Low</t>
  </si>
  <si>
    <t>Efficiently Scaling Transformer Inference</t>
  </si>
  <si>
    <t>Pope, Douglas, Chowdhery et al.</t>
  </si>
  <si>
    <t>Analyzes latency/throughput tradeoffs and partitioning strategies for large-scale LLM inference.</t>
  </si>
  <si>
    <t>Fine-Tuning &amp; PEFT</t>
  </si>
  <si>
    <t>LoRA: Low-Rank Adaptation of Large Language Models</t>
  </si>
  <si>
    <t>Hu, Shen, Wallis et al.</t>
  </si>
  <si>
    <t>Freezes pretrained weights and learns a low-rank update, drastically cutting fine-tuning cost.</t>
  </si>
  <si>
    <t>github.com/microsoft/LoRA</t>
  </si>
  <si>
    <t>QLoRA: Efficient Finetuning of Quantized LLMs</t>
  </si>
  <si>
    <t>Dettmers, Pagnoni, Holtzman, Zettlemoyer</t>
  </si>
  <si>
    <t>Combines 4-bit NF4 quantization with LoRA to fine-tune huge models on a single GPU.</t>
  </si>
  <si>
    <t>github.com/artidoro/qlora</t>
  </si>
  <si>
    <t>Prefix-Tuning: Optimizing Continuous Prompts for Generation</t>
  </si>
  <si>
    <t>Li, Liang</t>
  </si>
  <si>
    <t>Learns a small continuous prefix instead of updating any base model weights.</t>
  </si>
  <si>
    <t>github.com/XiangLi1999/PrefixTuning</t>
  </si>
  <si>
    <t>The Power of Scale for Parameter-Efficient Prompt Tuning</t>
  </si>
  <si>
    <t>Lester, Al-Rfou, Constant</t>
  </si>
  <si>
    <t>Shows soft prompt tuning approaches full fine-tuning quality as model scale increases.</t>
  </si>
  <si>
    <t>Supplementary</t>
  </si>
  <si>
    <t>LIMA: Less Is More for Alignment</t>
  </si>
  <si>
    <t>Zhou, Liu, Xu et al.</t>
  </si>
  <si>
    <t>Argues most alignment capability comes from pretraining; a small, high-quality SFT set suffices.</t>
  </si>
  <si>
    <t>Alignment &amp; RLHF</t>
  </si>
  <si>
    <t>Training Language Models to Follow Instructions with Human Feedback (InstructGPT)</t>
  </si>
  <si>
    <t>Ouyang, Wu, Jiang et al.</t>
  </si>
  <si>
    <t>The canonical 3-stage RLHF pipeline: SFT, reward modeling, PPO optimization.</t>
  </si>
  <si>
    <t>Direct Preference Optimization: Your LM is Secretly a Reward Model</t>
  </si>
  <si>
    <t>Rafailov, Sharma, Mitchell et al.</t>
  </si>
  <si>
    <t>Reformulates the RLHF objective as a simple classification loss, no explicit reward model or RL needed.</t>
  </si>
  <si>
    <t>github.com/eric-mitchell/direct-preference-optimization</t>
  </si>
  <si>
    <t>Deep Reinforcement Learning from Human Preferences</t>
  </si>
  <si>
    <t>Christiano, Leike, Brown et al.</t>
  </si>
  <si>
    <t>Earlier foundational work establishing learning reward signals from pairwise human preferences.</t>
  </si>
  <si>
    <t>Constitutional AI: Harmlessness from AI Feedback</t>
  </si>
  <si>
    <t>Bai, Kadavath, Kundu et al.</t>
  </si>
  <si>
    <t>Uses AI-generated critiques against a written constitution to reduce reliance on human labels.</t>
  </si>
  <si>
    <t>DeepSeekMath: Pushing the Limits of Mathematical Reasoning (GRPO)</t>
  </si>
  <si>
    <t>Shao, Wang, Zhu et al.</t>
  </si>
  <si>
    <t>Introduces GRPO, a critic-free RL method using group-relative advantage estimation.</t>
  </si>
  <si>
    <t>github.com/deepseek-ai/DeepSeek-Math</t>
  </si>
  <si>
    <t>Scaling Laws for Reward Model Overoptimization</t>
  </si>
  <si>
    <t>Gao, Schulman, Hilton</t>
  </si>
  <si>
    <t>Quantifies reward hacking: policy quality degrades once optimization overfits a proxy reward.</t>
  </si>
  <si>
    <t>Scaling Laws &amp; Training</t>
  </si>
  <si>
    <t>Scaling Laws for Neural Language Models</t>
  </si>
  <si>
    <t>Kaplan, McCandlish, Henighan et al.</t>
  </si>
  <si>
    <t>Empirically derives power-law relationships between loss, model size, data, and compute.</t>
  </si>
  <si>
    <t>Training Compute-Optimal Large Language Models (Chinchilla)</t>
  </si>
  <si>
    <t>Revises Kaplan et al.'s laws, showing data scale was previously underweighted relative to params.</t>
  </si>
  <si>
    <t>Deep Learning Scaling is Predictable, Empirically</t>
  </si>
  <si>
    <t>Hestness, Narang, Ardalani et al.</t>
  </si>
  <si>
    <t>Early empirical study establishing predictable power-law scaling curves across domains.</t>
  </si>
  <si>
    <t>An Empirical Model of Large-Batch Training</t>
  </si>
  <si>
    <t>McCandlish, Kaplan, Amodei et al.</t>
  </si>
  <si>
    <t>Defines the 'critical batch size' concept for efficient large-batch training.</t>
  </si>
  <si>
    <t>Retrieval &amp; RAG</t>
  </si>
  <si>
    <t>Retrieval-Augmented Generation for Knowledge-Intensive NLP Tasks</t>
  </si>
  <si>
    <t>Lewis, Perez, Piktus et al.</t>
  </si>
  <si>
    <t>Combines a parametric generator with a non-parametric retriever, the original RAG formulation.</t>
  </si>
  <si>
    <t>Dense Passage Retrieval for Open-Domain Question Answering</t>
  </si>
  <si>
    <t>Karpukhin, Oguz, Min et al.</t>
  </si>
  <si>
    <t>Shows dense bi-encoder retrieval outperforms classical sparse (BM25) retrieval for QA.</t>
  </si>
  <si>
    <t>github.com/facebookresearch/DPR</t>
  </si>
  <si>
    <t>Sentence-BERT: Sentence Embeddings using Siamese BERT-Networks</t>
  </si>
  <si>
    <t>Reimers, Gurevych</t>
  </si>
  <si>
    <t>Siamese-network fine-tuning to make BERT embeddings fast and meaningful for similarity search.</t>
  </si>
  <si>
    <t>github.com/UKPLab/sentence-transformers</t>
  </si>
  <si>
    <t>Efficient and Robust Approximate Nearest Neighbor Search Using HNSW</t>
  </si>
  <si>
    <t>Malkov, Yashunin</t>
  </si>
  <si>
    <t>The hierarchical navigable small-world graph algorithm underlying most modern vector DBs.</t>
  </si>
  <si>
    <t>github.com/nmslib/hnswlib</t>
  </si>
  <si>
    <t>Lost in the Middle: How Language Models Use Long Contexts</t>
  </si>
  <si>
    <t>Liu, Lin, Hewitt et al.</t>
  </si>
  <si>
    <t>Shows LLMs attend unevenly across long contexts, with a strong 'lost in the middle' effect.</t>
  </si>
  <si>
    <t>Mixture of Experts</t>
  </si>
  <si>
    <t>Outrageously Large Neural Networks: The Sparsely-Gated MoE Layer</t>
  </si>
  <si>
    <t>Shazeer, Mirhoseini, Maziarz et al.</t>
  </si>
  <si>
    <t>Introduces sparse gating so only a subset of 'expert' sub-networks activate per token.</t>
  </si>
  <si>
    <t>Switch Transformers: Scaling to Trillion Parameter Models</t>
  </si>
  <si>
    <t>Fedus, Zoph, Shazeer</t>
  </si>
  <si>
    <t>Simplifies MoE routing to top-1 expert selection, enabling trillion-parameter-scale training.</t>
  </si>
  <si>
    <t>github.com/google-research/t5x</t>
  </si>
  <si>
    <t>Mixtral of Experts</t>
  </si>
  <si>
    <t>Jiang, Sablayrolles, Roux et al.</t>
  </si>
  <si>
    <t>An open, production-quality sparse MoE model demonstrating strong quality/compute tradeoffs.</t>
  </si>
  <si>
    <t>github.com/mistralai/mistral-src</t>
  </si>
  <si>
    <t>Megatron-LM: Training Multi-Billion Parameter Models Using Model Parallelism</t>
  </si>
  <si>
    <t>Shoeybi, Patwary, Puri et al.</t>
  </si>
  <si>
    <t>Introduces intra-layer tensor parallelism for training models too large for one GPU.</t>
  </si>
  <si>
    <t>github.com/NVIDIA/Megatron-LM</t>
  </si>
  <si>
    <t>GPipe: Efficient Training of Giant Neural Networks Using Pipeline Parallelism</t>
  </si>
  <si>
    <t>Huang, Cheng, Bapna et al.</t>
  </si>
  <si>
    <t>Splits a model by layer across devices with micro-batching to reduce pipeline bubbles.</t>
  </si>
  <si>
    <t>ZeRO: Memory Optimizations Toward Training Trillion Parameter Models</t>
  </si>
  <si>
    <t>Rajbhandari, Rasley, Ruwase, He</t>
  </si>
  <si>
    <t>Shards optimizer state, gradients, and parameters across data-parallel workers to save memory.</t>
  </si>
  <si>
    <t>github.com/microsoft/DeepSpeed</t>
  </si>
  <si>
    <t>PyTorch FSDP: Experiences on Scaling Fully Sharded Data Parallel</t>
  </si>
  <si>
    <t>Zhao, Gu, Varma et al.</t>
  </si>
  <si>
    <t>Describes PyTorch's native fully-sharded data-parallel implementation and its design tradeoffs.</t>
  </si>
  <si>
    <t>github.com/pytorch/pytorch</t>
  </si>
  <si>
    <t>Reducing Activation Recomputation in Large Transformer Models</t>
  </si>
  <si>
    <t>Korthikanti, Casper, Lym et al.</t>
  </si>
  <si>
    <t>Analyzes activation-memory costs and selective recomputation strategies at very large scale.</t>
  </si>
  <si>
    <t>GPTQ: Accurate Post-Training Quantization for Generative Pretrained Transformers</t>
  </si>
  <si>
    <t>Frantar, Ashkboos, Hoefler, Alistarh</t>
  </si>
  <si>
    <t>Layer-wise weight quantization with error compensation, enabling accurate low-bit LLMs.</t>
  </si>
  <si>
    <t>github.com/IST-DASLab/gptq</t>
  </si>
  <si>
    <t>AWQ: Activation-aware Weight Quantization for LLM Compression</t>
  </si>
  <si>
    <t>Lin, Tang, Tang et al.</t>
  </si>
  <si>
    <t>Protects a small subset of salient weights at higher precision based on activation magnitude.</t>
  </si>
  <si>
    <t>github.com/mit-han-lab/llm-awq</t>
  </si>
  <si>
    <t>LLM.int8(): 8-bit Matrix Multiplication for Transformers at Scale</t>
  </si>
  <si>
    <t>Dettmers, Lewis, Belkada, Zettlemoyer</t>
  </si>
  <si>
    <t>Introduces mixed-precision decomposition to quantize to INT8 without significant quality loss.</t>
  </si>
  <si>
    <t>github.com/bitsandbytes-foundation/bitsandbytes</t>
  </si>
  <si>
    <t>SmoothQuant: Accurate and Efficient Post-Training Quantization</t>
  </si>
  <si>
    <t>Xiao, Lin, Seznec et al.</t>
  </si>
  <si>
    <t>Migrates quantization difficulty from activations to weights via a per-channel smoothing factor.</t>
  </si>
  <si>
    <t>github.com/mit-han-lab/smoothquant</t>
  </si>
  <si>
    <t>Agents &amp; Reasoning</t>
  </si>
  <si>
    <t>ReAct: Synergizing Reasoning and Acting in Language Models</t>
  </si>
  <si>
    <t>Yao, Zhao, Yu et al.</t>
  </si>
  <si>
    <t>Interleaves chain-of-thought reasoning with tool-use actions in a single generation loop.</t>
  </si>
  <si>
    <t>github.com/ysymyth/ReAct</t>
  </si>
  <si>
    <t>Chain-of-Thought Prompting Elicits Reasoning in Large Language Models</t>
  </si>
  <si>
    <t>Wei, Wang, Schuurmans et al.</t>
  </si>
  <si>
    <t>Shows prompting a model to produce intermediate reasoning steps improves task accuracy.</t>
  </si>
  <si>
    <t>Toolformer: Language Models Can Teach Themselves to Use Tools</t>
  </si>
  <si>
    <t>Schick, Dwivedi-Yu, Dessì et al.</t>
  </si>
  <si>
    <t>Self-supervised approach for a model to learn when and how to call external tools/APIs.</t>
  </si>
  <si>
    <t>Tree of Thoughts: Deliberate Problem Solving with Large Language Models</t>
  </si>
  <si>
    <t>Yao, Yu, Zhao et al.</t>
  </si>
  <si>
    <t>Generalizes chain-of-thought into a search over a tree of intermediate reasoning states.</t>
  </si>
  <si>
    <t>github.com/princeton-nlp/tree-of-thought-llm</t>
  </si>
  <si>
    <t>DeepSeek-R1: Incentivizing Reasoning Capability via RL</t>
  </si>
  <si>
    <t>DeepSeek-AI</t>
  </si>
  <si>
    <t>Demonstrates pure-RL post-training (no SFT bootstrap) can elicit strong reasoning behavior.</t>
  </si>
  <si>
    <t>github.com/deepseek-ai/DeepSeek-R1</t>
  </si>
  <si>
    <t>Judging LLM-as-a-Judge with MT-Bench and Chatbot Arena</t>
  </si>
  <si>
    <t>Zheng, Chiang, Sheng et al.</t>
  </si>
  <si>
    <t>Analyzes when LLM-as-judge scoring agrees with human preference and where it's biased.</t>
  </si>
  <si>
    <t>github.com/lm-sys/FastChat</t>
  </si>
  <si>
    <t>Measuring Massive Multitask Language Understanding (MMLU)</t>
  </si>
  <si>
    <t>Hendrycks, Burns, Basart et al.</t>
  </si>
  <si>
    <t>A 57-subject multiple-choice benchmark that became a standard LLM capability yardstick.</t>
  </si>
  <si>
    <t>github.com/hendrycks/test</t>
  </si>
  <si>
    <t>HumanEval: Evaluating Large Language Models Trained on Code</t>
  </si>
  <si>
    <t>Chen, Tworek, Jun et al.</t>
  </si>
  <si>
    <t>A functional-correctness code-generation benchmark (pass@k) still widely used today.</t>
  </si>
  <si>
    <t>github.com/openai/human-eval</t>
  </si>
  <si>
    <t>Holistic Evaluation of Language Models (HELM)</t>
  </si>
  <si>
    <t>Liang, Bommasani, Lee et al.</t>
  </si>
  <si>
    <t>Proposes a multi-metric, multi-scenario framework for standardized, holistic LLM evaluation.</t>
  </si>
  <si>
    <t>github.com/stanford-crfm/helm</t>
  </si>
  <si>
    <t>Red Teaming Language Models to Reduce Harms</t>
  </si>
  <si>
    <t>Ganguli, Lovitt, Kernion et al.</t>
  </si>
  <si>
    <t>Systematic methodology and findings from large-scale adversarial red-teaming of LLMs.</t>
  </si>
  <si>
    <t>Multimodal</t>
  </si>
  <si>
    <t>Learning Transferable Visual Models From Natural Language Supervision (CLIP)</t>
  </si>
  <si>
    <t>Radford, Kim, Hallacy et al.</t>
  </si>
  <si>
    <t>Contrastively pretrains on image-text pairs, aligning vision and language embedding spaces.</t>
  </si>
  <si>
    <t>github.com/openai/CLIP</t>
  </si>
  <si>
    <t>An Image is Worth 16x16 Words: Transformers for Image Recognition at Scale (ViT)</t>
  </si>
  <si>
    <t>Dosovitskiy, Beyer, Kolesnikov et al.</t>
  </si>
  <si>
    <t>Applies the plain Transformer architecture to image patches, bridging vision and NLP architectures.</t>
  </si>
  <si>
    <t>Flamingo: a Visual Language Model for Few-Shot Learning</t>
  </si>
  <si>
    <t>Alayrac, Donahue, Luc et al.</t>
  </si>
  <si>
    <t>Interleaves frozen vision and language models with cross-attention for few-shot multimodal tasks.</t>
  </si>
  <si>
    <t>Denoising Diffusion Probabilistic Models</t>
  </si>
  <si>
    <t>Ho, Jain, Abbeel</t>
  </si>
  <si>
    <t>Formalizes image generation as learning to reverse a gradual Gaussian noising process.</t>
  </si>
  <si>
    <t>github.com/hojonathanho/diffusion</t>
  </si>
  <si>
    <t>Tokenization &amp; Data</t>
  </si>
  <si>
    <t>Neural Machine Translation of Rare Words with Subword Units (BPE for NLP)</t>
  </si>
  <si>
    <t>Sennrich, Haddow, Birch</t>
  </si>
  <si>
    <t>Adapts byte-pair encoding compression to build open-vocabulary subword tokenizers for NLP.</t>
  </si>
  <si>
    <t>github.com/rsennrich/subword-nmt</t>
  </si>
  <si>
    <t>SentencePiece: A Simple and Language Independent Subword Tokenizer</t>
  </si>
  <si>
    <t>Kudo, Richardson</t>
  </si>
  <si>
    <t>A language-agnostic tokenizer treating whitespace as a regular symbol, no pre-tokenization needed.</t>
  </si>
  <si>
    <t>The Pile: An 800GB Dataset of Diverse Text for Language Modeling</t>
  </si>
  <si>
    <t>Gao, Biderman, Black et al.</t>
  </si>
  <si>
    <t>An influential open, diverse pretraining corpus and a template for later dataset curation work.</t>
  </si>
  <si>
    <t>github.com/EleutherAI/the-pile</t>
  </si>
  <si>
    <t>Textbooks Are All You Need (phi-1)</t>
  </si>
  <si>
    <t>Gunasekar, Zhang, Aneja et al.</t>
  </si>
  <si>
    <t>Shows small, extremely high-quality curated training data can rival much larger models on code.</t>
  </si>
  <si>
    <t>Efficient Architectures</t>
  </si>
  <si>
    <t>GLU Variants Improve Transformer</t>
  </si>
  <si>
    <t>Shazeer</t>
  </si>
  <si>
    <t>Proposes SwiGLU and related gated activation variants now standard in most modern LLM FFNs.</t>
  </si>
  <si>
    <t>Root Mean Square Layer Normalization (RMSNorm)</t>
  </si>
  <si>
    <t>Zhang, Sennrich</t>
  </si>
  <si>
    <t>A simplified, cheaper normalization scheme dropping LayerNorm's mean-centering step.</t>
  </si>
  <si>
    <t>github.com/bzhangGo/rmsnorm</t>
  </si>
  <si>
    <t>Longformer: The Long-Document Transformer</t>
  </si>
  <si>
    <t>Beltagy, Peters, Cohan</t>
  </si>
  <si>
    <t>Introduces a sparse local+global attention pattern to scale Transformers to long documents.</t>
  </si>
  <si>
    <t>github.com/allenai/longformer</t>
  </si>
  <si>
    <t>Mamba: Linear-Time Sequence Modeling with Selective State Spaces</t>
  </si>
  <si>
    <t>Gu, Dao</t>
  </si>
  <si>
    <t>A selective state-space model achieving Transformer-competitive quality with linear-time inference.</t>
  </si>
  <si>
    <t>github.com/state-spaces/mamba</t>
  </si>
  <si>
    <t>A Mathematical Framework for Transformer Circuits</t>
  </si>
  <si>
    <t>Elhage, Nanda, Olsson et al.</t>
  </si>
  <si>
    <t>Reverse-engineers small Transformers into interpretable circuits, including induction heads.</t>
  </si>
  <si>
    <t>Toy Models of Superposition</t>
  </si>
  <si>
    <t>Elhage, Hume, Olsson et al.</t>
  </si>
  <si>
    <t>Explains how neural nets represent more features than dimensions via superposition.</t>
  </si>
  <si>
    <t>Locating and Editing Factual Associations in GPT (ROME)</t>
  </si>
  <si>
    <t>Meng, Bau, Andonian, Belinkov</t>
  </si>
  <si>
    <t>Localizes where factual knowledge is stored in an LLM's MLP layers and edits it directly.</t>
  </si>
  <si>
    <t>github.com/kmeng01/rome</t>
  </si>
  <si>
    <t>52 portfolio projects, roughly ordered easiest -&gt; hardest. Status drives row color; Portfolio Ready / Resume Worthy are checkboxes you tick once a project is genuinely presentable.</t>
  </si>
  <si>
    <t>52 projects, Tier 1 (easiest) -&gt; Tier 8 (capstones)</t>
  </si>
  <si>
    <t>#</t>
  </si>
  <si>
    <t>Project Name</t>
  </si>
  <si>
    <t>Description</t>
  </si>
  <si>
    <t>Technologies</t>
  </si>
  <si>
    <t>Skills Practiced</t>
  </si>
  <si>
    <t>GitHub Repository</t>
  </si>
  <si>
    <t>Portfolio Ready</t>
  </si>
  <si>
    <t>Resume Worthy</t>
  </si>
  <si>
    <t>Micrograd-style Autograd Engine</t>
  </si>
  <si>
    <t>ML Fundamentals</t>
  </si>
  <si>
    <t>Intermediate</t>
  </si>
  <si>
    <t>Build a scalar-valued automatic differentiation engine from scratch, then a tiny MLP trained on it.</t>
  </si>
  <si>
    <t>Python</t>
  </si>
  <si>
    <t>Backpropagation, computational graphs, OOP</t>
  </si>
  <si>
    <t>github.com/yourname/micrograd-clone</t>
  </si>
  <si>
    <t>Custom LRU + LFU Cache Library</t>
  </si>
  <si>
    <t>Systems</t>
  </si>
  <si>
    <t>Implement both eviction policies as a reusable Python package with O(1) operations and tests.</t>
  </si>
  <si>
    <t>Python, pytest</t>
  </si>
  <si>
    <t>Data structures, hashmaps, linked lists</t>
  </si>
  <si>
    <t>github.com/yourname/cache-lib</t>
  </si>
  <si>
    <t>BPE Tokenizer From Scratch (minbpe-style)</t>
  </si>
  <si>
    <t>Train a byte-level BPE tokenizer on a custom corpus and compare compression to GPT-2's tokenizer.</t>
  </si>
  <si>
    <t>Tokenization, BPE algorithm</t>
  </si>
  <si>
    <t>github.com/yourname/mini-bpe</t>
  </si>
  <si>
    <t>Bloom Filter + Count-Min Sketch Library</t>
  </si>
  <si>
    <t>Implement both probabilistic structures with configurable false-positive rates, benchmarked vs Redis's.</t>
  </si>
  <si>
    <t>Python, Redis</t>
  </si>
  <si>
    <t>Hashing, probabilistic data structures</t>
  </si>
  <si>
    <t>github.com/yourname/probabilistic-ds</t>
  </si>
  <si>
    <t>Mini Ray Tracer to Practice NumPy Vectorization</t>
  </si>
  <si>
    <t>Systems/Math</t>
  </si>
  <si>
    <t>A CPU ray tracer used purely as a vectorization/NumPy-broadcasting exercise, not a rendering project.</t>
  </si>
  <si>
    <t>Python, NumPy</t>
  </si>
  <si>
    <t>Broadcasting, linear algebra, profiling</t>
  </si>
  <si>
    <t>github.com/yourname/vectorized-raytracer</t>
  </si>
  <si>
    <t>Nanogpt-style Character-Level GPT</t>
  </si>
  <si>
    <t>Implement and train a small decoder-only Transformer end to end, from tokenizer to sampling.</t>
  </si>
  <si>
    <t>PyTorch</t>
  </si>
  <si>
    <t>Transformers, attention, training loops</t>
  </si>
  <si>
    <t>github.com/yourname/nano-gpt</t>
  </si>
  <si>
    <t>XGBoost-based Tabular Pipeline with SHAP Explanations</t>
  </si>
  <si>
    <t>End-to-end tabular pipeline: feature engineering, XGBoost, calibration, and SHAP-based explanations.</t>
  </si>
  <si>
    <t>Python, XGBoost, SHAP</t>
  </si>
  <si>
    <t>Feature engineering, model calibration, interpretability</t>
  </si>
  <si>
    <t>github.com/yourname/tabular-xgb-shap</t>
  </si>
  <si>
    <t>Custom Embedding Model Fine-Tuned with Contrastive Loss</t>
  </si>
  <si>
    <t>Fine-tune a small sentence-embedding model with an InfoNCE loss on a domain-specific pair dataset.</t>
  </si>
  <si>
    <t>PyTorch, sentence-transformers</t>
  </si>
  <si>
    <t>Contrastive learning, embeddings</t>
  </si>
  <si>
    <t>github.com/yourname/custom-embeddings</t>
  </si>
  <si>
    <t>LoRA Fine-Tuning Pipeline for an Open LLM</t>
  </si>
  <si>
    <t>Fine-tune an open 7B model with LoRA on a custom instruction dataset and evaluate before/after.</t>
  </si>
  <si>
    <t>PyTorch, PEFT, Hugging Face</t>
  </si>
  <si>
    <t>LoRA, SFT, evaluation design</t>
  </si>
  <si>
    <t>github.com/yourname/lora-finetune-pipeline</t>
  </si>
  <si>
    <t>DPO Alignment Pipeline on a Preference Dataset</t>
  </si>
  <si>
    <t>Fine-tune a SFT model further with DPO on a preference dataset, comparing outputs before/after.</t>
  </si>
  <si>
    <t>PyTorch, TRL</t>
  </si>
  <si>
    <t>DPO, alignment, preference data curation</t>
  </si>
  <si>
    <t>github.com/yourname/dpo-pipeline</t>
  </si>
  <si>
    <t>Redis-Backed Cache-Aside API Layer with FastAPI</t>
  </si>
  <si>
    <t>Backend Systems</t>
  </si>
  <si>
    <t>Add cache-aside caching with TTL and stampede protection in front of a slow DB-backed FastAPI service.</t>
  </si>
  <si>
    <t>FastAPI, Redis, PostgreSQL, Docker</t>
  </si>
  <si>
    <t>Caching strategies, API design</t>
  </si>
  <si>
    <t>github.com/yourname/cache-aside-api</t>
  </si>
  <si>
    <t>gRPC Streaming Service for Token-by-Token LLM Output</t>
  </si>
  <si>
    <t>Convert a REST LLM-wrapper endpoint into a gRPC bidirectional-streaming service.</t>
  </si>
  <si>
    <t>gRPC, Protobuf, Python</t>
  </si>
  <si>
    <t>gRPC, streaming, protocol design</t>
  </si>
  <si>
    <t>github.com/yourname/grpc-token-stream</t>
  </si>
  <si>
    <t>Airflow DAG for a Bounce-Classification / Email Pipeline</t>
  </si>
  <si>
    <t>Data Engineering</t>
  </si>
  <si>
    <t>Orchestrate a multi-stage IMAP-polling and SMTP-classification pipeline as a resumable Airflow DAG.</t>
  </si>
  <si>
    <t>Airflow, Python, IMAP/SMTP</t>
  </si>
  <si>
    <t>Pipeline orchestration, idempotency, scheduling</t>
  </si>
  <si>
    <t>github.com/yourname/email-pipeline-airflow</t>
  </si>
  <si>
    <t>Rate Limiter Middleware with Multiple Algorithms</t>
  </si>
  <si>
    <t>Implement token-bucket, sliding-window, and fixed-window rate limiters as pluggable FastAPI middleware.</t>
  </si>
  <si>
    <t>FastAPI, Redis</t>
  </si>
  <si>
    <t>Rate limiting algorithms, middleware design</t>
  </si>
  <si>
    <t>github.com/yourname/rate-limiter-middleware</t>
  </si>
  <si>
    <t>NGINX + FastAPI Reverse Proxy with TLS and Load Balancing</t>
  </si>
  <si>
    <t>Deploy multiple FastAPI replicas behind an NGINX reverse proxy with TLS termination and health checks.</t>
  </si>
  <si>
    <t>NGINX, FastAPI, Docker Compose</t>
  </si>
  <si>
    <t>Load balancing, TLS, reverse proxying</t>
  </si>
  <si>
    <t>github.com/yourname/nginx-fastapi-lb</t>
  </si>
  <si>
    <t>RAG Pipeline with Chunking, Re-Ranking, and Faithfulness Eval</t>
  </si>
  <si>
    <t>Build a full RAG stack over a real document set, then measure retrieval quality and answer faithfulness.</t>
  </si>
  <si>
    <t>LangChain, FAISS/Pinecone, Python</t>
  </si>
  <si>
    <t>RAG design, evaluation, re-ranking</t>
  </si>
  <si>
    <t>github.com/yourname/rag-eval-pipeline</t>
  </si>
  <si>
    <t>ReAct Agent Built From Scratch (No Framework)</t>
  </si>
  <si>
    <t>Implement the reasoning-acting loop manually against a raw LLM API, with 2+ real tools.</t>
  </si>
  <si>
    <t>Python, an LLM API</t>
  </si>
  <si>
    <t>Agent loops, tool calling, prompt design</t>
  </si>
  <si>
    <t>github.com/yourname/react-from-scratch</t>
  </si>
  <si>
    <t>MCP Server Wrapping an Internal Tool</t>
  </si>
  <si>
    <t>Expose one of your existing scripts/tools as a Model Context Protocol server and connect a client.</t>
  </si>
  <si>
    <t>Python, MCP SDK</t>
  </si>
  <si>
    <t>MCP protocol, tool/resource design</t>
  </si>
  <si>
    <t>github.com/yourname/mcp-tool-server</t>
  </si>
  <si>
    <t>Multi-Agent Research Assistant with Self-Correction</t>
  </si>
  <si>
    <t>Build a multi-step research agent that plans, searches, drafts, and critiques its own output.</t>
  </si>
  <si>
    <t>LangGraph/LangChain, an LLM API</t>
  </si>
  <si>
    <t>Multi-agent orchestration, reflection loops</t>
  </si>
  <si>
    <t>github.com/yourname/multi-agent-researcher</t>
  </si>
  <si>
    <t>Long-Term Memory Store for a Conversational Agent</t>
  </si>
  <si>
    <t>Build a summarization + vector-DB memory system letting an agent persist facts across sessions.</t>
  </si>
  <si>
    <t>Python, a vector DB</t>
  </si>
  <si>
    <t>Memory architecture, summarization, retrieval</t>
  </si>
  <si>
    <t>github.com/yourname/agent-long-term-memory</t>
  </si>
  <si>
    <t>LLM Evaluation Harness with LLM-as-Judge</t>
  </si>
  <si>
    <t>Build a regression-test eval suite for a prompt/pipeline, including an LLM-as-judge scorer validated against human labels.</t>
  </si>
  <si>
    <t>Evaluation design, bias-aware judging</t>
  </si>
  <si>
    <t>github.com/yourname/llm-eval-harness</t>
  </si>
  <si>
    <t>Self-Hosted vLLM Deployment Behind a FastAPI Gateway</t>
  </si>
  <si>
    <t>LLM Systems</t>
  </si>
  <si>
    <t>Deploy an open model with vLLM, front it with a FastAPI gateway handling queuing and auth.</t>
  </si>
  <si>
    <t>vLLM, FastAPI, Docker</t>
  </si>
  <si>
    <t>Inference serving, request queuing</t>
  </si>
  <si>
    <t>github.com/yourname/vllm-fastapi-gateway</t>
  </si>
  <si>
    <t>Load-Testing and Benchmarking an LLM Serving Endpoint</t>
  </si>
  <si>
    <t>Build a load-testing harness measuring throughput/latency curves under increasing concurrency.</t>
  </si>
  <si>
    <t>Python, Locust/k6, vLLM</t>
  </si>
  <si>
    <t>Load testing, performance benchmarking</t>
  </si>
  <si>
    <t>github.com/yourname/llm-load-test</t>
  </si>
  <si>
    <t>Quantized Model Deployment Benchmark (GPTQ/AWQ vs FP16)</t>
  </si>
  <si>
    <t>Quantize an open model with AutoGPTQ/AWQ and benchmark quality/speed/memory tradeoffs vs FP16.</t>
  </si>
  <si>
    <t>AutoGPTQ, AWQ, Python</t>
  </si>
  <si>
    <t>Quantization, benchmarking methodology</t>
  </si>
  <si>
    <t>github.com/yourname/quantization-benchmark</t>
  </si>
  <si>
    <t>Prompt/Prefix Caching Layer for a Serving Stack</t>
  </si>
  <si>
    <t>Implement a prefix-cache layer that reuses KV-cache computation for repeated system prompts.</t>
  </si>
  <si>
    <t>Python, vLLM/custom inference code</t>
  </si>
  <si>
    <t>KV cache reuse, serving optimization</t>
  </si>
  <si>
    <t>github.com/yourname/prefix-cache-layer</t>
  </si>
  <si>
    <t>Kubernetes-Deployed Model Server with Horizontal Autoscaling</t>
  </si>
  <si>
    <t>MLOps</t>
  </si>
  <si>
    <t>Deploy a containerized model server on Kubernetes with an HPA scaling on request-queue depth.</t>
  </si>
  <si>
    <t>Kubernetes, Docker, FastAPI/vLLM</t>
  </si>
  <si>
    <t>K8s scheduling, autoscaling, observability</t>
  </si>
  <si>
    <t>github.com/yourname/k8s-model-autoscale</t>
  </si>
  <si>
    <t>Tiled Matrix Multiplication CUDA Kernel</t>
  </si>
  <si>
    <t>CUDA/GPU</t>
  </si>
  <si>
    <t>Write a shared-memory-tiled matmul kernel in raw CUDA C++ and benchmark against cuBLAS.</t>
  </si>
  <si>
    <t>CUDA C++</t>
  </si>
  <si>
    <t>Shared memory, tiling, memory coalescing</t>
  </si>
  <si>
    <t>github.com/yourname/tiled-matmul-cuda</t>
  </si>
  <si>
    <t>Fused Softmax Kernel in Triton</t>
  </si>
  <si>
    <t>Write a fused softmax kernel in Triton and benchmark against PyTorch's native implementation.</t>
  </si>
  <si>
    <t>Triton, PyTorch</t>
  </si>
  <si>
    <t>Triton programming model, kernel fusion</t>
  </si>
  <si>
    <t>github.com/yourname/triton-fused-softmax</t>
  </si>
  <si>
    <t>Custom Fused Attention Kernel in Triton</t>
  </si>
  <si>
    <t>Implement a simplified FlashAttention-style fused attention kernel in Triton.</t>
  </si>
  <si>
    <t>Attention internals, tiling, kernel authoring</t>
  </si>
  <si>
    <t>github.com/yourname/triton-fused-attention</t>
  </si>
  <si>
    <t>Roofline-Model Kernel Profiler with Nsight Compute</t>
  </si>
  <si>
    <t>Profile several CUDA kernels with Nsight Compute and plot them against the GPU's roofline model.</t>
  </si>
  <si>
    <t>CUDA, Nsight Compute, Python</t>
  </si>
  <si>
    <t>Performance profiling, roofline analysis</t>
  </si>
  <si>
    <t>github.com/yourname/roofline-profiler</t>
  </si>
  <si>
    <t>Custom PyTorch autograd.Function Backed by a CUDA Kernel</t>
  </si>
  <si>
    <t>Write a custom forward/backward CUDA kernel and bind it as a PyTorch autograd.Function via pybind11.</t>
  </si>
  <si>
    <t>CUDA C++, pybind11, PyTorch</t>
  </si>
  <si>
    <t>C++ extensions, autograd integration</t>
  </si>
  <si>
    <t>github.com/yourname/custom-cuda-autograd-op</t>
  </si>
  <si>
    <t>Distributed Data-Parallel Training Script with PyTorch DDP</t>
  </si>
  <si>
    <t>Train a mid-size model across multiple simulated workers with PyTorch DistributedDataParallel.</t>
  </si>
  <si>
    <t>PyTorch, DDP</t>
  </si>
  <si>
    <t>Data parallelism, gradient synchronization</t>
  </si>
  <si>
    <t>github.com/yourname/ddp-training-script</t>
  </si>
  <si>
    <t>FSDP Fine-Tuning Run with Memory Profiling</t>
  </si>
  <si>
    <t>Fine-tune a large model with FSDP and profile peak memory across sharding strategies.</t>
  </si>
  <si>
    <t>PyTorch FSDP</t>
  </si>
  <si>
    <t>Sharded training, memory profiling</t>
  </si>
  <si>
    <t>github.com/yourname/fsdp-finetune-profile</t>
  </si>
  <si>
    <t>Toy Ring All-Reduce Implementation</t>
  </si>
  <si>
    <t>Implement ring all-reduce across simulated worker processes and verify bandwidth-optimality.</t>
  </si>
  <si>
    <t>Python, multiprocessing</t>
  </si>
  <si>
    <t>Collective communication algorithms</t>
  </si>
  <si>
    <t>github.com/yourname/ring-allreduce-toy</t>
  </si>
  <si>
    <t>Checkpoint-and-Resume Training Loop Robust to Crashes</t>
  </si>
  <si>
    <t>Build a training loop that checkpoints periodically and resumes cleanly after a simulated crash.</t>
  </si>
  <si>
    <t>PyTorch, Airflow (optional)</t>
  </si>
  <si>
    <t>Checkpointing, fault tolerance</t>
  </si>
  <si>
    <t>github.com/yourname/resumable-training-loop</t>
  </si>
  <si>
    <t>Distributed Hyperparameter Sweep with Ray Tune</t>
  </si>
  <si>
    <t>Run a distributed hyperparameter search across a local Ray cluster with early stopping.</t>
  </si>
  <si>
    <t>Ray Tune, PyTorch</t>
  </si>
  <si>
    <t>Distributed compute, hyperparameter search</t>
  </si>
  <si>
    <t>github.com/yourname/ray-tune-sweep</t>
  </si>
  <si>
    <t>End-to-End RAG SaaS Demo (Ingestion -&gt; Retrieval -&gt; Serving)</t>
  </si>
  <si>
    <t>Capstone</t>
  </si>
  <si>
    <t>A deployable mini-product: document ingestion, RAG retrieval, an API, and a minimal UI, containerized.</t>
  </si>
  <si>
    <t>FastAPI, a vector DB, Docker, LangChain</t>
  </si>
  <si>
    <t>Full-stack RAG system design</t>
  </si>
  <si>
    <t>github.com/yourname/rag-saas-demo</t>
  </si>
  <si>
    <t>Multi-Agent Coding Assistant with Tool Sandboxing</t>
  </si>
  <si>
    <t>An agent that can read/write files and run code in a sandboxed environment, with human approval gates.</t>
  </si>
  <si>
    <t>Python, an LLM API, Docker</t>
  </si>
  <si>
    <t>Agent safety, sandboxing, tool design</t>
  </si>
  <si>
    <t>github.com/yourname/sandboxed-coding-agent</t>
  </si>
  <si>
    <t>Self-Hosted Inference Platform: Quantized Model + vLLM + K8s + Monitoring</t>
  </si>
  <si>
    <t>Combine quantization, vLLM serving, Kubernetes deployment, and Prometheus/Grafana monitoring into one stack.</t>
  </si>
  <si>
    <t>vLLM, Kubernetes, Prometheus, Grafana</t>
  </si>
  <si>
    <t>Full MLOps serving stack</t>
  </si>
  <si>
    <t>github.com/yourname/self-hosted-inference-platform</t>
  </si>
  <si>
    <t>Distributed Fine-Tuning Pipeline: Data -&gt; FSDP Training -&gt; Eval -&gt; Deploy</t>
  </si>
  <si>
    <t>An end-to-end pipeline from data curation through FSDP fine-tuning to automated eval and deployment.</t>
  </si>
  <si>
    <t>PyTorch FSDP, Airflow, vLLM</t>
  </si>
  <si>
    <t>End-to-end ML pipeline engineering</t>
  </si>
  <si>
    <t>github.com/yourname/e2e-finetune-pipeline</t>
  </si>
  <si>
    <t>Custom Mini Inference Engine (KV Cache + Continuous Batching)</t>
  </si>
  <si>
    <t>Build a simplified inference engine implementing KV caching and continuous batching from scratch.</t>
  </si>
  <si>
    <t>Python, PyTorch, CUDA (optional)</t>
  </si>
  <si>
    <t>Inference-engine architecture, batching schedulers</t>
  </si>
  <si>
    <t>github.com/yourname/mini-inference-engine</t>
  </si>
  <si>
    <t>Bounce/DSN Email Classification Pipeline Enhancement</t>
  </si>
  <si>
    <t>Extend your existing IMAP/SMTP classification pipeline with an ML-based fallback classifier.</t>
  </si>
  <si>
    <t>Python, scikit-learn</t>
  </si>
  <si>
    <t>Text classification, production pipeline design</t>
  </si>
  <si>
    <t>github.com/yourname/bounce-classifier-ml</t>
  </si>
  <si>
    <t>Flow Dashboard Backend: Campaign Command Center API</t>
  </si>
  <si>
    <t>Build the FastAPI backend powering multi-level drill-down (Campaign -&gt; MX -&gt; Mailbox -&gt; Domain).</t>
  </si>
  <si>
    <t>FastAPI, PostgreSQL/ClickHouse</t>
  </si>
  <si>
    <t>API design, aggregation queries</t>
  </si>
  <si>
    <t>github.com/yourname/campaign-command-center-api</t>
  </si>
  <si>
    <t>Vector-Search Benchmark: HNSW vs IVF-PQ vs Brute Force</t>
  </si>
  <si>
    <t>Benchmark recall/latency tradeoffs of different ANN index types on the same embedding dataset.</t>
  </si>
  <si>
    <t>faiss, Python</t>
  </si>
  <si>
    <t>ANN algorithms, benchmarking methodology</t>
  </si>
  <si>
    <t>github.com/yourname/ann-index-benchmark</t>
  </si>
  <si>
    <t>Custom Reward Model Trained on a Preference Dataset</t>
  </si>
  <si>
    <t>Train a Bradley-Terry reward model on pairwise preferences and inspect its score distribution.</t>
  </si>
  <si>
    <t>Reward modeling, preference learning</t>
  </si>
  <si>
    <t>github.com/yourname/reward-model-training</t>
  </si>
  <si>
    <t>GitHub Profile Automation Suite (metrics, badges, commit calendar)</t>
  </si>
  <si>
    <t>Developer Tooling</t>
  </si>
  <si>
    <t>A properly automated GitHub Actions workflow generating live metrics/badges (no hardcoded values).</t>
  </si>
  <si>
    <t>GitHub Actions, lowlighter/metrics</t>
  </si>
  <si>
    <t>CI/CD automation, workflow design</t>
  </si>
  <si>
    <t>github.com/yourname/profile-automation</t>
  </si>
  <si>
    <t>Resume/ATS Optimization Toolkit (LaTeX + Keyword Matching)</t>
  </si>
  <si>
    <t>A tool that scores a LaTeX resume against a job description's keywords and flags overflow issues.</t>
  </si>
  <si>
    <t>Python, LaTeX tooling</t>
  </si>
  <si>
    <t>Text processing, tooling for personal workflows</t>
  </si>
  <si>
    <t>github.com/yourname/resume-ats-toolkit</t>
  </si>
  <si>
    <t>Biometric Missing-Persons Matching Prototype (Extension)</t>
  </si>
  <si>
    <t>Computer Vision</t>
  </si>
  <si>
    <t>Extend your existing biometric tracker project with a proper face-embedding similarity search index.</t>
  </si>
  <si>
    <t>Python, a vector DB, a face-embedding model</t>
  </si>
  <si>
    <t>Embedding search, computer vision pipelines</t>
  </si>
  <si>
    <t>github.com/yourname/missing-persons-matching-v2</t>
  </si>
  <si>
    <t>Multi-Agent Cybersecurity System (Extension)</t>
  </si>
  <si>
    <t>Extend your existing multi-agent cybersecurity project with tool-calling and an eval harness.</t>
  </si>
  <si>
    <t>Multi-agent systems, security-domain tooling</t>
  </si>
  <si>
    <t>github.com/yourname/cybersec-multiagent-v2</t>
  </si>
  <si>
    <t>Speculative Decoding Prototype with a Draft/Target Model Pair</t>
  </si>
  <si>
    <t>Implement a toy speculative decoding loop and measure real speedup vs acceptance rate.</t>
  </si>
  <si>
    <t>PyTorch, Hugging Face</t>
  </si>
  <si>
    <t>Speculative decoding, sampling theory</t>
  </si>
  <si>
    <t>github.com/yourname/speculative-decoding-prototype</t>
  </si>
  <si>
    <t>CI Pipeline for ML Model Regression Testing</t>
  </si>
  <si>
    <t>A GitHub Actions pipeline that runs eval regression tests on every PR touching model/prompt code.</t>
  </si>
  <si>
    <t>GitHub Actions, Python</t>
  </si>
  <si>
    <t>CI/CD for ML, regression testing</t>
  </si>
  <si>
    <t>github.com/yourname/ml-regression-ci</t>
  </si>
  <si>
    <t>Personal LLM Cost/Latency Tracking Dashboard</t>
  </si>
  <si>
    <t>A small dashboard tracking token usage, cost, and latency across your own LLM API calls over time.</t>
  </si>
  <si>
    <t>Python, a simple DB, a dashboarding lib</t>
  </si>
  <si>
    <t>Observability, cost tracking</t>
  </si>
  <si>
    <t>github.com/yourname/llm-usage-dashboard</t>
  </si>
  <si>
    <t>Interview Preparation</t>
  </si>
  <si>
    <t>134 questions across 12 categories. Tick Answered once you can give a confident, structured answer out loud, not just recognize the concept.</t>
  </si>
  <si>
    <t>134 questions total</t>
  </si>
  <si>
    <t>Question</t>
  </si>
  <si>
    <t>Answered</t>
  </si>
  <si>
    <t>Python  (12 questions)</t>
  </si>
  <si>
    <t>Walk through what happens in memory when you create and then delete a Python object.</t>
  </si>
  <si>
    <t>Refcounting -&gt; GC generations.</t>
  </si>
  <si>
    <t>Why can't the GIL simply be removed, and what does PEP 703 change?</t>
  </si>
  <si>
    <t>Hard</t>
  </si>
  <si>
    <t>Reference the free-threaded 3.13+ build.</t>
  </si>
  <si>
    <t>Explain the descriptor protocol and how @property is implemented using it.</t>
  </si>
  <si>
    <t>When would you reach for multiprocessing vs asyncio vs threading for a given workload?</t>
  </si>
  <si>
    <t>Tie to GIL + I/O vs CPU bound.</t>
  </si>
  <si>
    <t>What's the difference between a generator and a coroutine in Python?</t>
  </si>
  <si>
    <t>How does functools.lru_cache work internally, and what's its memory risk?</t>
  </si>
  <si>
    <t>Explain why mutable default arguments are a classic Python bug.</t>
  </si>
  <si>
    <t>Easy</t>
  </si>
  <si>
    <t>How would you profile and fix a slow Python data-processing script?</t>
  </si>
  <si>
    <t>Expect: profile first, then optimize.</t>
  </si>
  <si>
    <t>What's the difference between __new__ and __init__?</t>
  </si>
  <si>
    <t>How does Python's import system avoid circular import issues (or fail to)?</t>
  </si>
  <si>
    <t>Explain how context managers work and when you'd write a custom one.</t>
  </si>
  <si>
    <t>What would you check first if a C extension call seems to be leaking memory?</t>
  </si>
  <si>
    <t>Data Structures &amp; Algorithms  (12 questions)</t>
  </si>
  <si>
    <t>Design an LRU cache with O(1) get/put. Walk through your implementation.</t>
  </si>
  <si>
    <t>Hashmap + doubly linked list.</t>
  </si>
  <si>
    <t>Given a stream of integers, find the running median efficiently.</t>
  </si>
  <si>
    <t>Two heaps.</t>
  </si>
  <si>
    <t>Explain how you'd detect a cycle in a directed graph.</t>
  </si>
  <si>
    <t>DFS coloring or Kahn's algorithm.</t>
  </si>
  <si>
    <t>Find the shortest path in a weighted graph with no negative edges. Which algorithm and why?</t>
  </si>
  <si>
    <t>Dijkstra.</t>
  </si>
  <si>
    <t>How would you solve 'longest substring without repeating characters' and what's the complexity?</t>
  </si>
  <si>
    <t>Sliding window, O(n).</t>
  </si>
  <si>
    <t>Explain the tradeoff between a Fenwick tree and a segment tree.</t>
  </si>
  <si>
    <t>Design a rate limiter using a sliding window algorithm.</t>
  </si>
  <si>
    <t>Ties to the Networking/Backend topics too.</t>
  </si>
  <si>
    <t>Walk through solving 'coin change' with dynamic programming, bottom-up.</t>
  </si>
  <si>
    <t>How would you find the top-K frequent elements in a huge stream with limited memory?</t>
  </si>
  <si>
    <t>Count-Min Sketch / heap.</t>
  </si>
  <si>
    <t>Explain Union-Find with path compression and union by rank, and its amortized complexity.</t>
  </si>
  <si>
    <t>Inverse Ackermann.</t>
  </si>
  <si>
    <t>Given a trie of a large vocabulary, how would you implement efficient prefix autocomplete?</t>
  </si>
  <si>
    <t>Relates to tokenizer vocab lookups.</t>
  </si>
  <si>
    <t>How would you design a Bloom filter for a cache to avoid cache-miss storms, and size it correctly?</t>
  </si>
  <si>
    <t>Operating Systems  (12 questions)</t>
  </si>
  <si>
    <t>Explain what happens, step by step, during a context switch.</t>
  </si>
  <si>
    <t>Why is a syscall more expensive than a regular function call?</t>
  </si>
  <si>
    <t>What's the difference between a mutex and a semaphore?</t>
  </si>
  <si>
    <t>Explain how the CFS scheduler decides which process runs next.</t>
  </si>
  <si>
    <t>vruntime + red-black tree.</t>
  </si>
  <si>
    <t>What causes a page fault, and how is it handled by the OS?</t>
  </si>
  <si>
    <t>Why do modern systems favor epoll over select/poll at scale?</t>
  </si>
  <si>
    <t>O(1) vs O(n) readiness checks.</t>
  </si>
  <si>
    <t>Explain the ABA problem in lock-free programming and how to avoid it.</t>
  </si>
  <si>
    <t>What is NUMA and why does it matter for multi-GPU training hosts?</t>
  </si>
  <si>
    <t>How would you debug a container that's intermittently OOM-killed?</t>
  </si>
  <si>
    <t>cgroups, /proc, memory maps.</t>
  </si>
  <si>
    <t>Explain how io_uring reduces syscall overhead compared to traditional async I/O.</t>
  </si>
  <si>
    <t>What's the difference between a hardware interrupt and a software trap?</t>
  </si>
  <si>
    <t>Why would you reach for eBPF instead of a kernel module for observability?</t>
  </si>
  <si>
    <t>Computer Networking  (11 questions)</t>
  </si>
  <si>
    <t>Walk through the TCP three-way handshake and why it's needed.</t>
  </si>
  <si>
    <t>Why does QUIC avoid head-of-line blocking that TCP-based HTTP/2 suffers from?</t>
  </si>
  <si>
    <t>Explain the difference between L4 and L7 load balancing, and when you'd use each.</t>
  </si>
  <si>
    <t>How does TLS 1.3 achieve a faster handshake than TLS 1.2?</t>
  </si>
  <si>
    <t>1-RTT vs 2-RTT.</t>
  </si>
  <si>
    <t>What's the difference between at-most-once and at-least-once RPC semantics?</t>
  </si>
  <si>
    <t>Explain how a CDN decides which edge node serves a given user.</t>
  </si>
  <si>
    <t>Anycast + BGP.</t>
  </si>
  <si>
    <t>Why might you choose gRPC over REST for internal service communication?</t>
  </si>
  <si>
    <t>How would you debug a connection that's mysteriously slow between two services?</t>
  </si>
  <si>
    <t>tcpdump/Wireshark at multiple points.</t>
  </si>
  <si>
    <t>Explain what BBR congestion control does differently from loss-based algorithms like Cubic.</t>
  </si>
  <si>
    <t>What's the role of DNS caching, and what problems can stale caches cause in production?</t>
  </si>
  <si>
    <t>How would you design health checks for a load balancer fronting an LLM inference service?</t>
  </si>
  <si>
    <t>Databases  (11 questions)</t>
  </si>
  <si>
    <t>Explain MVCC and why it lets readers avoid blocking writers in Postgres.</t>
  </si>
  <si>
    <t>What's the difference between a B-Tree and a B+Tree, and why do databases use B+Trees for indexes?</t>
  </si>
  <si>
    <t>Walk through what EXPLAIN ANALYZE tells you and how you'd use it to fix a slow query.</t>
  </si>
  <si>
    <t>Why do LSM trees favor writes while B-Trees favor reads?</t>
  </si>
  <si>
    <t>Explain the difference between Read Committed and Serializable isolation, with a concrete anomaly example.</t>
  </si>
  <si>
    <t>How would you shard a large multi-tenant table, and what makes a shard key 'bad'?</t>
  </si>
  <si>
    <t>Hot spots.</t>
  </si>
  <si>
    <t>What's the tradeoff between synchronous and asynchronous replication?</t>
  </si>
  <si>
    <t>When would you reach for a vector database over a traditional index, and how does HNSW work at a high level?</t>
  </si>
  <si>
    <t>Ties to RAG.</t>
  </si>
  <si>
    <t>Explain cache-aside vs write-through caching and their consistency tradeoffs.</t>
  </si>
  <si>
    <t>How do you avoid a cache stampede when a popular key expires?</t>
  </si>
  <si>
    <t>Why might ClickHouse dramatically outperform Postgres for an analytics query, and what's the tradeoff?</t>
  </si>
  <si>
    <t>Columnar vs row storage.</t>
  </si>
  <si>
    <t>Machine Learning  (10 questions)</t>
  </si>
  <si>
    <t>Explain the bias-variance tradeoff with a concrete example.</t>
  </si>
  <si>
    <t>Why would you use PR-AUC instead of ROC-AUC on a highly imbalanced dataset?</t>
  </si>
  <si>
    <t>Walk through how XGBoost's second-order approximation differs from plain gradient boosting.</t>
  </si>
  <si>
    <t>How would you detect and fix an overconfident (poorly calibrated) classifier?</t>
  </si>
  <si>
    <t>Temperature scaling.</t>
  </si>
  <si>
    <t>Explain nested cross-validation and why it's needed when you're also tuning hyperparameters.</t>
  </si>
  <si>
    <t>How do SHAP values differ conceptually from a model's built-in feature importance?</t>
  </si>
  <si>
    <t>Shapley game theory.</t>
  </si>
  <si>
    <t>What's the danger of target encoding a categorical feature without proper CV folds?</t>
  </si>
  <si>
    <t>Leakage.</t>
  </si>
  <si>
    <t>Why might you choose LightGBM over XGBoost for a very large tabular dataset?</t>
  </si>
  <si>
    <t>Explain the EM algorithm at a high level and give an example of when you'd use it.</t>
  </si>
  <si>
    <t>How would you design an evaluation to determine if a new model variant is really better, not just noise?</t>
  </si>
  <si>
    <t>Significance testing.</t>
  </si>
  <si>
    <t>Deep Learning  (11 questions)</t>
  </si>
  <si>
    <t>Derive backpropagation for a 2-layer MLP on a whiteboard.</t>
  </si>
  <si>
    <t>Why do residual connections help gradients flow through very deep networks?</t>
  </si>
  <si>
    <t>Explain scaled dot-product attention and why the scaling by sqrt(d_k) matters.</t>
  </si>
  <si>
    <t>Compare RoPE and ALiBi for encoding positional information.</t>
  </si>
  <si>
    <t>Why do modern LLMs use RMSNorm instead of BatchNorm?</t>
  </si>
  <si>
    <t>Explain how FlashAttention achieves exact (not approximate) attention while still being faster.</t>
  </si>
  <si>
    <t>IO-awareness, tiling.</t>
  </si>
  <si>
    <t>What problem does Mixture-of-Experts solve, and what's the tradeoff it introduces?</t>
  </si>
  <si>
    <t>Load balancing.</t>
  </si>
  <si>
    <t>Explain the difference between forward and reverse KL divergence, with an intuition for mode-seeking vs mode-covering.</t>
  </si>
  <si>
    <t>Why does contrastive loss need negative samples while cross-entropy doesn't?</t>
  </si>
  <si>
    <t>Walk through how CLIP aligns image and text embeddings without paired labels for every concept.</t>
  </si>
  <si>
    <t>What causes vanishing gradients in deep networks, and what are the main mitigations?</t>
  </si>
  <si>
    <t>LLM Engineering  (14 questions)</t>
  </si>
  <si>
    <t>Walk through what happens in a KV cache as generation proceeds, and why its memory grows the way it does.</t>
  </si>
  <si>
    <t>Explain PagedAttention and how it borrows ideas directly from OS virtual memory paging.</t>
  </si>
  <si>
    <t>How does continuous batching improve GPU utilization over static batching?</t>
  </si>
  <si>
    <t>Explain speculative decoding and why it doesn't change the output distribution.</t>
  </si>
  <si>
    <t>Compare LoRA, QLoRA, and full fine-tuning in terms of memory and when you'd choose each.</t>
  </si>
  <si>
    <t>Walk through the three stages of the classic RLHF pipeline.</t>
  </si>
  <si>
    <t>SFT -&gt; RM -&gt; PPO.</t>
  </si>
  <si>
    <t>How does DPO avoid training an explicit reward model?</t>
  </si>
  <si>
    <t>What causes reward-model overoptimization ('reward hacking') and how would you detect it?</t>
  </si>
  <si>
    <t>Explain the biases that can creep into LLM-as-judge evaluation, and how you'd mitigate them.</t>
  </si>
  <si>
    <t>Verbosity/position bias.</t>
  </si>
  <si>
    <t>Design a RAG pipeline end to end: what are the key failure points and how do you evaluate each stage?</t>
  </si>
  <si>
    <t>What does a re-ranker add on top of raw embedding-similarity retrieval?</t>
  </si>
  <si>
    <t>Explain how you'd design an agent's tool-calling loop to avoid infinite loops or repeated failed calls.</t>
  </si>
  <si>
    <t>Why did AWQ protect only a subset of 'salient' weights instead of quantizing everything uniformly?</t>
  </si>
  <si>
    <t>How would you decide between self-hosting a quantized open model vs calling a hosted LLM API?</t>
  </si>
  <si>
    <t>Cost, latency, control tradeoffs.</t>
  </si>
  <si>
    <t>CUDA &amp; GPU Programming  (10 questions)</t>
  </si>
  <si>
    <t>Explain the GPU execution hierarchy: grid, block, warp, thread.</t>
  </si>
  <si>
    <t>What causes warp divergence, and why is it expensive?</t>
  </si>
  <si>
    <t>Explain memory coalescing and why row-major vs column-major layout matters.</t>
  </si>
  <si>
    <t>Why doesn't maximizing occupancy always maximize kernel performance?</t>
  </si>
  <si>
    <t>Walk through how you'd optimize a naive matrix-multiplication CUDA kernel step by step.</t>
  </si>
  <si>
    <t>Tiling, shared memory.</t>
  </si>
  <si>
    <t>What's the difference between a memory-bound and compute-bound kernel, and how do you tell which you have?</t>
  </si>
  <si>
    <t>Roofline model.</t>
  </si>
  <si>
    <t>Why do Tensor Cores require specific matrix tile shapes to hit peak throughput?</t>
  </si>
  <si>
    <t>Explain what a CUDA graph captures and why it helps latency-sensitive workloads like LLM inference.</t>
  </si>
  <si>
    <t>How does Triton let you approach hand-tuned CUDA performance with much less code?</t>
  </si>
  <si>
    <t>What's the benefit of overlapping compute and data transfer using multiple CUDA streams?</t>
  </si>
  <si>
    <t>Distributed Systems  (11 questions)</t>
  </si>
  <si>
    <t>Explain what CAP actually constrains, and a common misconception about it.</t>
  </si>
  <si>
    <t>Walk through Raft's leader election process and what happens on a split vote.</t>
  </si>
  <si>
    <t>Why does data parallelism require an all-reduce of gradients every step, and what limits its scaling?</t>
  </si>
  <si>
    <t>Explain tensor parallelism: how is a single matmul actually split across GPUs?</t>
  </si>
  <si>
    <t>Column/row-parallel pairing.</t>
  </si>
  <si>
    <t>What causes a 'pipeline bubble' in pipeline parallelism, and how does micro-batching help?</t>
  </si>
  <si>
    <t>Compare what FSDP shards vs what plain DistributedDataParallel does.</t>
  </si>
  <si>
    <t>Explain the difference between ZeRO stage 1, 2, and 3.</t>
  </si>
  <si>
    <t>Why is ring all-reduce's bandwidth cost independent of the number of workers?</t>
  </si>
  <si>
    <t>How does Kafka guarantee ordering within a partition but not across partitions, and why does that matter for consumers?</t>
  </si>
  <si>
    <t>What's the operational cost of splitting a monolith into microservices that's easy to underestimate?</t>
  </si>
  <si>
    <t>Design a checkpoint-and-resume strategy for a multi-day distributed training run that might crash.</t>
  </si>
  <si>
    <t>System Design  (10 questions)</t>
  </si>
  <si>
    <t>System Design</t>
  </si>
  <si>
    <t>Design a scalable LLM inference serving system for a chat product with unpredictable traffic spikes.</t>
  </si>
  <si>
    <t>Batching, autoscaling, queuing.</t>
  </si>
  <si>
    <t>Design a RAG system for a large, frequently-updated internal knowledge base.</t>
  </si>
  <si>
    <t>Ingestion freshness, chunking, re-ranking.</t>
  </si>
  <si>
    <t>Design a rate-limited, multi-tenant API gateway in front of an LLM backend.</t>
  </si>
  <si>
    <t>Design a system to detect and prevent prompt-injection attacks in an agentic tool-using system.</t>
  </si>
  <si>
    <t>Design a training-data pipeline that ingests, deduplicates, and filters petabyte-scale text data.</t>
  </si>
  <si>
    <t>Design an evaluation and monitoring system to catch silent quality regressions in production LLM outputs.</t>
  </si>
  <si>
    <t>How would you design a system to serve both a large model and a small draft model for speculative decoding at scale?</t>
  </si>
  <si>
    <t>Design a feature store for a real-time recommendation system.</t>
  </si>
  <si>
    <t>Design a system for A/B testing different prompts/models safely in production.</t>
  </si>
  <si>
    <t>How would you design a multi-region deployment for low-latency global LLM access?</t>
  </si>
  <si>
    <t>Anycast, regional caching.</t>
  </si>
  <si>
    <t>Behavioral  (10 questions)</t>
  </si>
  <si>
    <t>Behavioral</t>
  </si>
  <si>
    <t>Tell me about a time you had to debug a production issue under time pressure. What was your process?</t>
  </si>
  <si>
    <t>STAR format.</t>
  </si>
  <si>
    <t>Describe a project where you had to learn a new technical domain quickly. How did you approach it?</t>
  </si>
  <si>
    <t>Tell me about a time you disagreed with a technical decision. How did you handle it?</t>
  </si>
  <si>
    <t>Describe a time you had to make a tradeoff between doing something 'properly' vs shipping quickly.</t>
  </si>
  <si>
    <t>Tell me about a mistake you made in a project and what you learned from it.</t>
  </si>
  <si>
    <t>Describe how you prioritize when you have multiple competing deadlines.</t>
  </si>
  <si>
    <t>Tell me about a time you had to explain a technical concept to a non-technical stakeholder.</t>
  </si>
  <si>
    <t>Describe a time you received critical feedback on your work. How did you respond?</t>
  </si>
  <si>
    <t>Why are you interested in AI systems/research engineering specifically, and why this company?</t>
  </si>
  <si>
    <t>Tailor per company.</t>
  </si>
  <si>
    <t>Tell me about a project you're most proud of and what made it technically challenging.</t>
  </si>
  <si>
    <t>Pick from your Projects sheet.</t>
  </si>
  <si>
    <t>Dashboard</t>
  </si>
  <si>
    <t>Live status of every topic across all 11 curriculum sheets. Subject / Topic / Subtopic / Status / Date Completed pull automatically — edit Status and Date Completed on the source subject sheet, not here.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</si>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</sst>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\%"/>
    <numFmt numFmtId="166" formatCode="yyyy\-mm\-dd;;;"/>
  </numFmts>
  <fonts count="10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i/>
      <sz val="9"/>
      <color rgb="FFFFFFFF"/>
      <name val="Arial"/>
      <charset val="1"/>
    </font>
    <font>
      <b/>
      <sz val="10"/>
      <color rgb="FFFFFFFF"/>
      <name val="Arial"/>
      <charset val="1"/>
    </font>
    <font>
      <sz val="9.5"/>
      <name val="Arial"/>
      <charset val="1"/>
    </font>
    <font>
      <sz val="10"/>
      <name val="Arial"/>
      <family val="2"/>
    </font>
    <font>
      <b/>
      <sz val="10"/>
      <name val="Arial"/>
      <charset val="1"/>
    </font>
    <font>
      <b/>
      <sz val="9.5"/>
      <color rgb="FFFFFFFF"/>
      <name val="Arial"/>
      <charset val="1"/>
    </font>
    <font>
      <b/>
      <sz val="10.5"/>
      <color rgb="FF0F2540"/>
      <name val="Arial"/>
      <charset val="1"/>
    </font>
    <font>
      <sz val="9"/>
      <color rgb="FFFFFFFF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0F2540"/>
        <bgColor rgb="FF1B3A5C"/>
      </patternFill>
    </fill>
    <fill>
      <patternFill patternType="solid">
        <fgColor rgb="FF1B3A5C"/>
        <bgColor rgb="FF0F2540"/>
      </patternFill>
    </fill>
    <fill>
      <patternFill patternType="solid">
        <fgColor rgb="FFFFFFFF"/>
        <bgColor rgb="FFF4F4F4"/>
      </patternFill>
    </fill>
    <fill>
      <patternFill patternType="solid">
        <fgColor rgb="FFEAF2FA"/>
        <bgColor rgb="FFF4F4F4"/>
      </patternFill>
    </fill>
    <fill>
      <patternFill patternType="solid">
        <fgColor rgb="FFAFCBE3"/>
        <bgColor rgb="FFC9D6E3"/>
      </patternFill>
    </fill>
  </fills>
  <borders count="3">
    <border>
      <left/>
      <right/>
      <top/>
      <bottom/>
      <diagonal/>
    </border>
    <border>
      <left style="thin">
        <color rgb="FFC9D6E3"/>
      </left>
      <right style="thin">
        <color rgb="FFC9D6E3"/>
      </right>
      <top style="medium">
        <color rgb="FF1B3A5C"/>
      </top>
      <bottom style="medium">
        <color rgb="FF1B3A5C"/>
      </bottom>
      <diagonal/>
    </border>
    <border>
      <left style="thin">
        <color rgb="FFC9D6E3"/>
      </left>
      <right style="thin">
        <color rgb="FFC9D6E3"/>
      </right>
      <top style="thin">
        <color rgb="FFC9D6E3"/>
      </top>
      <bottom style="thin">
        <color rgb="FFC9D6E3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  <xf numFmtId="164" fontId="4" fillId="5" borderId="2" xfId="0" applyNumberFormat="1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left" vertical="top" wrapText="1"/>
    </xf>
    <xf numFmtId="165" fontId="4" fillId="4" borderId="2" xfId="0" applyNumberFormat="1" applyFont="1" applyFill="1" applyBorder="1" applyAlignment="1">
      <alignment horizontal="left" vertical="center"/>
    </xf>
    <xf numFmtId="165" fontId="4" fillId="5" borderId="2" xfId="0" applyNumberFormat="1" applyFont="1" applyFill="1" applyBorder="1" applyAlignment="1">
      <alignment horizontal="left" vertical="center"/>
    </xf>
    <xf numFmtId="0" fontId="6" fillId="6" borderId="2" xfId="0" applyFont="1" applyFill="1" applyBorder="1"/>
    <xf numFmtId="165" fontId="6" fillId="6" borderId="2" xfId="0" applyNumberFormat="1" applyFont="1" applyFill="1" applyBorder="1"/>
    <xf numFmtId="165" fontId="7" fillId="3" borderId="0" xfId="0" applyNumberFormat="1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 indent="1"/>
    </xf>
    <xf numFmtId="0" fontId="4" fillId="0" borderId="0" xfId="0" applyFont="1"/>
    <xf numFmtId="166" fontId="4" fillId="0" borderId="0" xfId="0" applyNumberFormat="1" applyFont="1"/>
    <xf numFmtId="0" fontId="8" fillId="6" borderId="2" xfId="0" applyFont="1" applyFill="1" applyBorder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7" fillId="3" borderId="0" xfId="0" applyFont="1" applyFill="1" applyAlignment="1">
      <alignment horizontal="left" vertical="center" indent="1"/>
    </xf>
    <xf numFmtId="0" fontId="9" fillId="3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464">
    <dxf>
      <font>
        <sz val="9"/>
        <color rgb="FF5A5A5A"/>
        <name val="Arial"/>
        <charset val="1"/>
      </font>
      <fill>
        <patternFill>
          <bgColor rgb="FFE7E6E6"/>
        </patternFill>
      </fill>
    </dxf>
    <dxf>
      <font>
        <sz val="9"/>
        <color rgb="FF985A17"/>
        <name val="Arial"/>
        <charset val="1"/>
      </font>
      <fill>
        <patternFill>
          <bgColor rgb="FFFCE0C4"/>
        </patternFill>
      </fill>
    </dxf>
    <dxf>
      <font>
        <sz val="9"/>
        <color rgb="FF5B2E8C"/>
        <name val="Arial"/>
        <charset val="1"/>
      </font>
      <fill>
        <patternFill>
          <bgColor rgb="FFE4D8F0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9C6500"/>
        <name val="Arial"/>
        <charset val="1"/>
      </font>
      <fill>
        <patternFill>
          <bgColor rgb="FFFFEB9C"/>
        </patternFill>
      </fill>
    </dxf>
    <dxf>
      <font>
        <sz val="9"/>
        <color rgb="FF006100"/>
        <name val="Arial"/>
        <charset val="1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5A5A5A"/>
        <name val="Arial"/>
        <charset val="1"/>
      </font>
      <fill>
        <patternFill>
          <bgColor rgb="FFE7E6E6"/>
        </patternFill>
      </fill>
    </dxf>
    <dxf>
      <font>
        <b/>
        <sz val="9"/>
        <color rgb="FF985A17"/>
        <name val="Arial"/>
        <charset val="1"/>
      </font>
      <fill>
        <patternFill>
          <bgColor rgb="FFFCE0C4"/>
        </patternFill>
      </fill>
    </dxf>
    <dxf>
      <font>
        <b/>
        <sz val="9"/>
        <color rgb="FF5B2E8C"/>
        <name val="Arial"/>
        <charset val="1"/>
      </font>
      <fill>
        <patternFill>
          <bgColor rgb="FFE4D8F0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5A5A5A"/>
        <name val="Arial"/>
        <charset val="1"/>
      </font>
      <fill>
        <patternFill>
          <bgColor rgb="FFE7E6E6"/>
        </patternFill>
      </fill>
    </dxf>
    <dxf>
      <font>
        <b/>
        <sz val="9"/>
        <color rgb="FF985A17"/>
        <name val="Arial"/>
        <charset val="1"/>
      </font>
      <fill>
        <patternFill>
          <bgColor rgb="FFFCE0C4"/>
        </patternFill>
      </fill>
    </dxf>
    <dxf>
      <font>
        <b/>
        <sz val="9"/>
        <color rgb="FF5B2E8C"/>
        <name val="Arial"/>
        <charset val="1"/>
      </font>
      <fill>
        <patternFill>
          <bgColor rgb="FFE4D8F0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5A5A5A"/>
        <name val="Arial"/>
        <charset val="1"/>
      </font>
      <fill>
        <patternFill>
          <bgColor rgb="FFE7E6E6"/>
        </patternFill>
      </fill>
    </dxf>
    <dxf>
      <font>
        <b/>
        <sz val="9"/>
        <color rgb="FF985A17"/>
        <name val="Arial"/>
        <charset val="1"/>
      </font>
      <fill>
        <patternFill>
          <bgColor rgb="FFFCE0C4"/>
        </patternFill>
      </fill>
    </dxf>
    <dxf>
      <font>
        <b/>
        <sz val="9"/>
        <color rgb="FF5B2E8C"/>
        <name val="Arial"/>
        <charset val="1"/>
      </font>
      <fill>
        <patternFill>
          <bgColor rgb="FFE4D8F0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5A5A5A"/>
        <name val="Arial"/>
        <charset val="1"/>
      </font>
      <fill>
        <patternFill>
          <bgColor rgb="FFE7E6E6"/>
        </patternFill>
      </fill>
    </dxf>
    <dxf>
      <font>
        <b/>
        <sz val="9"/>
        <color rgb="FF985A17"/>
        <name val="Arial"/>
        <charset val="1"/>
      </font>
      <fill>
        <patternFill>
          <bgColor rgb="FFFCE0C4"/>
        </patternFill>
      </fill>
    </dxf>
    <dxf>
      <font>
        <b/>
        <sz val="9"/>
        <color rgb="FF5B2E8C"/>
        <name val="Arial"/>
        <charset val="1"/>
      </font>
      <fill>
        <patternFill>
          <bgColor rgb="FFE4D8F0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5A5A5A"/>
        <name val="Arial"/>
        <charset val="1"/>
      </font>
      <fill>
        <patternFill>
          <bgColor rgb="FFE7E6E6"/>
        </patternFill>
      </fill>
    </dxf>
    <dxf>
      <font>
        <b/>
        <sz val="9"/>
        <color rgb="FF985A17"/>
        <name val="Arial"/>
        <charset val="1"/>
      </font>
      <fill>
        <patternFill>
          <bgColor rgb="FFFCE0C4"/>
        </patternFill>
      </fill>
    </dxf>
    <dxf>
      <font>
        <b/>
        <sz val="9"/>
        <color rgb="FF5B2E8C"/>
        <name val="Arial"/>
        <charset val="1"/>
      </font>
      <fill>
        <patternFill>
          <bgColor rgb="FFE4D8F0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5A5A5A"/>
        <name val="Arial"/>
        <charset val="1"/>
      </font>
      <fill>
        <patternFill>
          <bgColor rgb="FFE7E6E6"/>
        </patternFill>
      </fill>
    </dxf>
    <dxf>
      <font>
        <b/>
        <sz val="9"/>
        <color rgb="FF985A17"/>
        <name val="Arial"/>
        <charset val="1"/>
      </font>
      <fill>
        <patternFill>
          <bgColor rgb="FFFCE0C4"/>
        </patternFill>
      </fill>
    </dxf>
    <dxf>
      <font>
        <b/>
        <sz val="9"/>
        <color rgb="FF5B2E8C"/>
        <name val="Arial"/>
        <charset val="1"/>
      </font>
      <fill>
        <patternFill>
          <bgColor rgb="FFE4D8F0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5A5A5A"/>
        <name val="Arial"/>
        <charset val="1"/>
      </font>
      <fill>
        <patternFill>
          <bgColor rgb="FFE7E6E6"/>
        </patternFill>
      </fill>
    </dxf>
    <dxf>
      <font>
        <b/>
        <sz val="9"/>
        <color rgb="FF985A17"/>
        <name val="Arial"/>
        <charset val="1"/>
      </font>
      <fill>
        <patternFill>
          <bgColor rgb="FFFCE0C4"/>
        </patternFill>
      </fill>
    </dxf>
    <dxf>
      <font>
        <b/>
        <sz val="9"/>
        <color rgb="FF5B2E8C"/>
        <name val="Arial"/>
        <charset val="1"/>
      </font>
      <fill>
        <patternFill>
          <bgColor rgb="FFE4D8F0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5A5A5A"/>
        <name val="Arial"/>
        <charset val="1"/>
      </font>
      <fill>
        <patternFill>
          <bgColor rgb="FFE7E6E6"/>
        </patternFill>
      </fill>
    </dxf>
    <dxf>
      <font>
        <b/>
        <sz val="9"/>
        <color rgb="FF985A17"/>
        <name val="Arial"/>
        <charset val="1"/>
      </font>
      <fill>
        <patternFill>
          <bgColor rgb="FFFCE0C4"/>
        </patternFill>
      </fill>
    </dxf>
    <dxf>
      <font>
        <b/>
        <sz val="9"/>
        <color rgb="FF5B2E8C"/>
        <name val="Arial"/>
        <charset val="1"/>
      </font>
      <fill>
        <patternFill>
          <bgColor rgb="FFE4D8F0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5A5A5A"/>
        <name val="Arial"/>
        <charset val="1"/>
      </font>
      <fill>
        <patternFill>
          <bgColor rgb="FFE7E6E6"/>
        </patternFill>
      </fill>
    </dxf>
    <dxf>
      <font>
        <b/>
        <sz val="9"/>
        <color rgb="FF985A17"/>
        <name val="Arial"/>
        <charset val="1"/>
      </font>
      <fill>
        <patternFill>
          <bgColor rgb="FFFCE0C4"/>
        </patternFill>
      </fill>
    </dxf>
    <dxf>
      <font>
        <b/>
        <sz val="9"/>
        <color rgb="FF5B2E8C"/>
        <name val="Arial"/>
        <charset val="1"/>
      </font>
      <fill>
        <patternFill>
          <bgColor rgb="FFE4D8F0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5A5A5A"/>
        <name val="Arial"/>
        <charset val="1"/>
      </font>
      <fill>
        <patternFill>
          <bgColor rgb="FFE7E6E6"/>
        </patternFill>
      </fill>
    </dxf>
    <dxf>
      <font>
        <b/>
        <sz val="9"/>
        <color rgb="FF985A17"/>
        <name val="Arial"/>
        <charset val="1"/>
      </font>
      <fill>
        <patternFill>
          <bgColor rgb="FFFCE0C4"/>
        </patternFill>
      </fill>
    </dxf>
    <dxf>
      <font>
        <b/>
        <sz val="9"/>
        <color rgb="FF5B2E8C"/>
        <name val="Arial"/>
        <charset val="1"/>
      </font>
      <fill>
        <patternFill>
          <bgColor rgb="FFE4D8F0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5A5A5A"/>
        <name val="Arial"/>
        <charset val="1"/>
      </font>
      <fill>
        <patternFill>
          <bgColor rgb="FFE7E6E6"/>
        </patternFill>
      </fill>
    </dxf>
    <dxf>
      <font>
        <b/>
        <sz val="9"/>
        <color rgb="FF985A17"/>
        <name val="Arial"/>
        <charset val="1"/>
      </font>
      <fill>
        <patternFill>
          <bgColor rgb="FFFCE0C4"/>
        </patternFill>
      </fill>
    </dxf>
    <dxf>
      <font>
        <b/>
        <sz val="9"/>
        <color rgb="FF5B2E8C"/>
        <name val="Arial"/>
        <charset val="1"/>
      </font>
      <fill>
        <patternFill>
          <bgColor rgb="FFE4D8F0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5A5A5A"/>
        <name val="Arial"/>
        <charset val="1"/>
      </font>
      <fill>
        <patternFill>
          <bgColor rgb="FFE7E6E6"/>
        </patternFill>
      </fill>
    </dxf>
    <dxf>
      <font>
        <b/>
        <sz val="9"/>
        <color rgb="FF985A17"/>
        <name val="Arial"/>
        <charset val="1"/>
      </font>
      <fill>
        <patternFill>
          <bgColor rgb="FFFCE0C4"/>
        </patternFill>
      </fill>
    </dxf>
    <dxf>
      <font>
        <b/>
        <sz val="9"/>
        <color rgb="FF5B2E8C"/>
        <name val="Arial"/>
        <charset val="1"/>
      </font>
      <fill>
        <patternFill>
          <bgColor rgb="FFE4D8F0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5A5A5A"/>
        <name val="Arial"/>
        <charset val="1"/>
      </font>
      <fill>
        <patternFill>
          <bgColor rgb="FFE7E6E6"/>
        </patternFill>
      </fill>
    </dxf>
    <dxf>
      <font>
        <b/>
        <sz val="9"/>
        <color rgb="FF985A17"/>
        <name val="Arial"/>
        <charset val="1"/>
      </font>
      <fill>
        <patternFill>
          <bgColor rgb="FFFCE0C4"/>
        </patternFill>
      </fill>
    </dxf>
    <dxf>
      <font>
        <b/>
        <sz val="9"/>
        <color rgb="FF5B2E8C"/>
        <name val="Arial"/>
        <charset val="1"/>
      </font>
      <fill>
        <patternFill>
          <bgColor rgb="FFE4D8F0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5A5A5A"/>
        <name val="Arial"/>
        <charset val="1"/>
      </font>
      <fill>
        <patternFill>
          <bgColor rgb="FFE7E6E6"/>
        </patternFill>
      </fill>
    </dxf>
    <dxf>
      <font>
        <b/>
        <sz val="9"/>
        <color rgb="FF985A17"/>
        <name val="Arial"/>
        <charset val="1"/>
      </font>
      <fill>
        <patternFill>
          <bgColor rgb="FFFCE0C4"/>
        </patternFill>
      </fill>
    </dxf>
    <dxf>
      <font>
        <b/>
        <sz val="9"/>
        <color rgb="FF5B2E8C"/>
        <name val="Arial"/>
        <charset val="1"/>
      </font>
      <fill>
        <patternFill>
          <bgColor rgb="FFE4D8F0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5A5A5A"/>
        <name val="Arial"/>
        <charset val="1"/>
      </font>
      <fill>
        <patternFill>
          <bgColor rgb="FFE7E6E6"/>
        </patternFill>
      </fill>
    </dxf>
    <dxf>
      <font>
        <b/>
        <sz val="9"/>
        <color rgb="FF985A17"/>
        <name val="Arial"/>
        <charset val="1"/>
      </font>
      <fill>
        <patternFill>
          <bgColor rgb="FFFCE0C4"/>
        </patternFill>
      </fill>
    </dxf>
    <dxf>
      <font>
        <b/>
        <sz val="9"/>
        <color rgb="FF5B2E8C"/>
        <name val="Arial"/>
        <charset val="1"/>
      </font>
      <fill>
        <patternFill>
          <bgColor rgb="FFE4D8F0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5A5A5A"/>
        <name val="Arial"/>
        <charset val="1"/>
      </font>
      <fill>
        <patternFill>
          <bgColor rgb="FFE7E6E6"/>
        </patternFill>
      </fill>
    </dxf>
    <dxf>
      <font>
        <b/>
        <sz val="9"/>
        <color rgb="FF985A17"/>
        <name val="Arial"/>
        <charset val="1"/>
      </font>
      <fill>
        <patternFill>
          <bgColor rgb="FFFCE0C4"/>
        </patternFill>
      </fill>
    </dxf>
    <dxf>
      <font>
        <b/>
        <sz val="9"/>
        <color rgb="FF5B2E8C"/>
        <name val="Arial"/>
        <charset val="1"/>
      </font>
      <fill>
        <patternFill>
          <bgColor rgb="FFE4D8F0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5A5A5A"/>
        <name val="Arial"/>
        <charset val="1"/>
      </font>
      <fill>
        <patternFill>
          <bgColor rgb="FFE7E6E6"/>
        </patternFill>
      </fill>
    </dxf>
    <dxf>
      <font>
        <b/>
        <sz val="9"/>
        <color rgb="FF985A17"/>
        <name val="Arial"/>
        <charset val="1"/>
      </font>
      <fill>
        <patternFill>
          <bgColor rgb="FFFCE0C4"/>
        </patternFill>
      </fill>
    </dxf>
    <dxf>
      <font>
        <b/>
        <sz val="9"/>
        <color rgb="FF5B2E8C"/>
        <name val="Arial"/>
        <charset val="1"/>
      </font>
      <fill>
        <patternFill>
          <bgColor rgb="FFE4D8F0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5A5A5A"/>
        <name val="Arial"/>
        <charset val="1"/>
      </font>
      <fill>
        <patternFill>
          <bgColor rgb="FFE7E6E6"/>
        </patternFill>
      </fill>
    </dxf>
    <dxf>
      <font>
        <b/>
        <sz val="9"/>
        <color rgb="FF985A17"/>
        <name val="Arial"/>
        <charset val="1"/>
      </font>
      <fill>
        <patternFill>
          <bgColor rgb="FFFCE0C4"/>
        </patternFill>
      </fill>
    </dxf>
    <dxf>
      <font>
        <b/>
        <sz val="9"/>
        <color rgb="FF5B2E8C"/>
        <name val="Arial"/>
        <charset val="1"/>
      </font>
      <fill>
        <patternFill>
          <bgColor rgb="FFE4D8F0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5A5A5A"/>
        <name val="Arial"/>
        <charset val="1"/>
      </font>
      <fill>
        <patternFill>
          <bgColor rgb="FFE7E6E6"/>
        </patternFill>
      </fill>
    </dxf>
    <dxf>
      <font>
        <b/>
        <sz val="9"/>
        <color rgb="FF985A17"/>
        <name val="Arial"/>
        <charset val="1"/>
      </font>
      <fill>
        <patternFill>
          <bgColor rgb="FFFCE0C4"/>
        </patternFill>
      </fill>
    </dxf>
    <dxf>
      <font>
        <b/>
        <sz val="9"/>
        <color rgb="FF5B2E8C"/>
        <name val="Arial"/>
        <charset val="1"/>
      </font>
      <fill>
        <patternFill>
          <bgColor rgb="FFE4D8F0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5A5A5A"/>
        <name val="Arial"/>
        <charset val="1"/>
      </font>
      <fill>
        <patternFill>
          <bgColor rgb="FFE7E6E6"/>
        </patternFill>
      </fill>
    </dxf>
    <dxf>
      <font>
        <b/>
        <sz val="9"/>
        <color rgb="FF985A17"/>
        <name val="Arial"/>
        <charset val="1"/>
      </font>
      <fill>
        <patternFill>
          <bgColor rgb="FFFCE0C4"/>
        </patternFill>
      </fill>
    </dxf>
    <dxf>
      <font>
        <b/>
        <sz val="9"/>
        <color rgb="FF5B2E8C"/>
        <name val="Arial"/>
        <charset val="1"/>
      </font>
      <fill>
        <patternFill>
          <bgColor rgb="FFE4D8F0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5A5A5A"/>
        <name val="Arial"/>
        <charset val="1"/>
      </font>
      <fill>
        <patternFill>
          <bgColor rgb="FFE7E6E6"/>
        </patternFill>
      </fill>
    </dxf>
    <dxf>
      <font>
        <b/>
        <sz val="9"/>
        <color rgb="FF985A17"/>
        <name val="Arial"/>
        <charset val="1"/>
      </font>
      <fill>
        <patternFill>
          <bgColor rgb="FFFCE0C4"/>
        </patternFill>
      </fill>
    </dxf>
    <dxf>
      <font>
        <b/>
        <sz val="9"/>
        <color rgb="FF5B2E8C"/>
        <name val="Arial"/>
        <charset val="1"/>
      </font>
      <fill>
        <patternFill>
          <bgColor rgb="FFE4D8F0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5A5A5A"/>
        <name val="Arial"/>
        <charset val="1"/>
      </font>
      <fill>
        <patternFill>
          <bgColor rgb="FFE7E6E6"/>
        </patternFill>
      </fill>
    </dxf>
    <dxf>
      <font>
        <b/>
        <sz val="9"/>
        <color rgb="FF985A17"/>
        <name val="Arial"/>
        <charset val="1"/>
      </font>
      <fill>
        <patternFill>
          <bgColor rgb="FFFCE0C4"/>
        </patternFill>
      </fill>
    </dxf>
    <dxf>
      <font>
        <b/>
        <sz val="9"/>
        <color rgb="FF5B2E8C"/>
        <name val="Arial"/>
        <charset val="1"/>
      </font>
      <fill>
        <patternFill>
          <bgColor rgb="FFE4D8F0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5A5A5A"/>
        <name val="Arial"/>
        <charset val="1"/>
      </font>
      <fill>
        <patternFill>
          <bgColor rgb="FFE7E6E6"/>
        </patternFill>
      </fill>
    </dxf>
    <dxf>
      <font>
        <b/>
        <sz val="9"/>
        <color rgb="FF985A17"/>
        <name val="Arial"/>
        <charset val="1"/>
      </font>
      <fill>
        <patternFill>
          <bgColor rgb="FFFCE0C4"/>
        </patternFill>
      </fill>
    </dxf>
    <dxf>
      <font>
        <b/>
        <sz val="9"/>
        <color rgb="FF5B2E8C"/>
        <name val="Arial"/>
        <charset val="1"/>
      </font>
      <fill>
        <patternFill>
          <bgColor rgb="FFE4D8F0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5A5A5A"/>
        <name val="Arial"/>
        <charset val="1"/>
      </font>
      <fill>
        <patternFill>
          <bgColor rgb="FFE7E6E6"/>
        </patternFill>
      </fill>
    </dxf>
    <dxf>
      <font>
        <b/>
        <sz val="9"/>
        <color rgb="FF985A17"/>
        <name val="Arial"/>
        <charset val="1"/>
      </font>
      <fill>
        <patternFill>
          <bgColor rgb="FFFCE0C4"/>
        </patternFill>
      </fill>
    </dxf>
    <dxf>
      <font>
        <b/>
        <sz val="9"/>
        <color rgb="FF5B2E8C"/>
        <name val="Arial"/>
        <charset val="1"/>
      </font>
      <fill>
        <patternFill>
          <bgColor rgb="FFE4D8F0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5A5A5A"/>
        <name val="Arial"/>
        <charset val="1"/>
      </font>
      <fill>
        <patternFill>
          <bgColor rgb="FFE7E6E6"/>
        </patternFill>
      </fill>
    </dxf>
    <dxf>
      <font>
        <b/>
        <sz val="9"/>
        <color rgb="FF985A17"/>
        <name val="Arial"/>
        <charset val="1"/>
      </font>
      <fill>
        <patternFill>
          <bgColor rgb="FFFCE0C4"/>
        </patternFill>
      </fill>
    </dxf>
    <dxf>
      <font>
        <b/>
        <sz val="9"/>
        <color rgb="FF5B2E8C"/>
        <name val="Arial"/>
        <charset val="1"/>
      </font>
      <fill>
        <patternFill>
          <bgColor rgb="FFE4D8F0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5A5A5A"/>
        <name val="Arial"/>
        <charset val="1"/>
      </font>
      <fill>
        <patternFill>
          <bgColor rgb="FFE7E6E6"/>
        </patternFill>
      </fill>
    </dxf>
    <dxf>
      <font>
        <b/>
        <sz val="9"/>
        <color rgb="FF985A17"/>
        <name val="Arial"/>
        <charset val="1"/>
      </font>
      <fill>
        <patternFill>
          <bgColor rgb="FFFCE0C4"/>
        </patternFill>
      </fill>
    </dxf>
    <dxf>
      <font>
        <b/>
        <sz val="9"/>
        <color rgb="FF5B2E8C"/>
        <name val="Arial"/>
        <charset val="1"/>
      </font>
      <fill>
        <patternFill>
          <bgColor rgb="FFE4D8F0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5A5A5A"/>
        <name val="Arial"/>
        <charset val="1"/>
      </font>
      <fill>
        <patternFill>
          <bgColor rgb="FFE7E6E6"/>
        </patternFill>
      </fill>
    </dxf>
    <dxf>
      <font>
        <b/>
        <sz val="9"/>
        <color rgb="FF985A17"/>
        <name val="Arial"/>
        <charset val="1"/>
      </font>
      <fill>
        <patternFill>
          <bgColor rgb="FFFCE0C4"/>
        </patternFill>
      </fill>
    </dxf>
    <dxf>
      <font>
        <b/>
        <sz val="9"/>
        <color rgb="FF5B2E8C"/>
        <name val="Arial"/>
        <charset val="1"/>
      </font>
      <fill>
        <patternFill>
          <bgColor rgb="FFE4D8F0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5A5A5A"/>
        <name val="Arial"/>
        <charset val="1"/>
      </font>
      <fill>
        <patternFill>
          <bgColor rgb="FFE7E6E6"/>
        </patternFill>
      </fill>
    </dxf>
    <dxf>
      <font>
        <b/>
        <sz val="9"/>
        <color rgb="FF985A17"/>
        <name val="Arial"/>
        <charset val="1"/>
      </font>
      <fill>
        <patternFill>
          <bgColor rgb="FFFCE0C4"/>
        </patternFill>
      </fill>
    </dxf>
    <dxf>
      <font>
        <b/>
        <sz val="9"/>
        <color rgb="FF5B2E8C"/>
        <name val="Arial"/>
        <charset val="1"/>
      </font>
      <fill>
        <patternFill>
          <bgColor rgb="FFE4D8F0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5A5A5A"/>
        <name val="Arial"/>
        <charset val="1"/>
      </font>
      <fill>
        <patternFill>
          <bgColor rgb="FFE7E6E6"/>
        </patternFill>
      </fill>
    </dxf>
    <dxf>
      <font>
        <b/>
        <sz val="9"/>
        <color rgb="FF985A17"/>
        <name val="Arial"/>
        <charset val="1"/>
      </font>
      <fill>
        <patternFill>
          <bgColor rgb="FFFCE0C4"/>
        </patternFill>
      </fill>
    </dxf>
    <dxf>
      <font>
        <b/>
        <sz val="9"/>
        <color rgb="FF5B2E8C"/>
        <name val="Arial"/>
        <charset val="1"/>
      </font>
      <fill>
        <patternFill>
          <bgColor rgb="FFE4D8F0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5A5A5A"/>
        <name val="Arial"/>
        <charset val="1"/>
      </font>
      <fill>
        <patternFill>
          <bgColor rgb="FFE7E6E6"/>
        </patternFill>
      </fill>
    </dxf>
    <dxf>
      <font>
        <b/>
        <sz val="9"/>
        <color rgb="FF985A17"/>
        <name val="Arial"/>
        <charset val="1"/>
      </font>
      <fill>
        <patternFill>
          <bgColor rgb="FFFCE0C4"/>
        </patternFill>
      </fill>
    </dxf>
    <dxf>
      <font>
        <b/>
        <sz val="9"/>
        <color rgb="FF5B2E8C"/>
        <name val="Arial"/>
        <charset val="1"/>
      </font>
      <fill>
        <patternFill>
          <bgColor rgb="FFE4D8F0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5A5A5A"/>
        <name val="Arial"/>
        <charset val="1"/>
      </font>
      <fill>
        <patternFill>
          <bgColor rgb="FFE7E6E6"/>
        </patternFill>
      </fill>
    </dxf>
    <dxf>
      <font>
        <b/>
        <sz val="9"/>
        <color rgb="FF985A17"/>
        <name val="Arial"/>
        <charset val="1"/>
      </font>
      <fill>
        <patternFill>
          <bgColor rgb="FFFCE0C4"/>
        </patternFill>
      </fill>
    </dxf>
    <dxf>
      <font>
        <b/>
        <sz val="9"/>
        <color rgb="FF5B2E8C"/>
        <name val="Arial"/>
        <charset val="1"/>
      </font>
      <fill>
        <patternFill>
          <bgColor rgb="FFE4D8F0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5A5A5A"/>
        <name val="Arial"/>
        <charset val="1"/>
      </font>
      <fill>
        <patternFill>
          <bgColor rgb="FFE7E6E6"/>
        </patternFill>
      </fill>
    </dxf>
    <dxf>
      <font>
        <b/>
        <sz val="9"/>
        <color rgb="FF985A17"/>
        <name val="Arial"/>
        <charset val="1"/>
      </font>
      <fill>
        <patternFill>
          <bgColor rgb="FFFCE0C4"/>
        </patternFill>
      </fill>
    </dxf>
    <dxf>
      <font>
        <b/>
        <sz val="9"/>
        <color rgb="FF5B2E8C"/>
        <name val="Arial"/>
        <charset val="1"/>
      </font>
      <fill>
        <patternFill>
          <bgColor rgb="FFE4D8F0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5A5A5A"/>
        <name val="Arial"/>
        <charset val="1"/>
      </font>
      <fill>
        <patternFill>
          <bgColor rgb="FFE7E6E6"/>
        </patternFill>
      </fill>
    </dxf>
    <dxf>
      <font>
        <b/>
        <sz val="9"/>
        <color rgb="FF985A17"/>
        <name val="Arial"/>
        <charset val="1"/>
      </font>
      <fill>
        <patternFill>
          <bgColor rgb="FFFCE0C4"/>
        </patternFill>
      </fill>
    </dxf>
    <dxf>
      <font>
        <b/>
        <sz val="9"/>
        <color rgb="FF5B2E8C"/>
        <name val="Arial"/>
        <charset val="1"/>
      </font>
      <fill>
        <patternFill>
          <bgColor rgb="FFE4D8F0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985A17"/>
        <name val="Arial"/>
        <charset val="1"/>
      </font>
      <fill>
        <patternFill>
          <bgColor rgb="FFFCE0C4"/>
        </patternFill>
      </fill>
    </dxf>
    <dxf>
      <font>
        <b/>
        <sz val="9"/>
        <color rgb="FF5A5A5A"/>
        <name val="Arial"/>
        <charset val="1"/>
      </font>
      <fill>
        <patternFill>
          <bgColor rgb="FFE7E6E6"/>
        </patternFill>
      </fill>
    </dxf>
    <dxf>
      <font>
        <b/>
        <sz val="9"/>
        <color rgb="FF5B2E8C"/>
        <name val="Arial"/>
        <charset val="1"/>
      </font>
      <fill>
        <patternFill>
          <bgColor rgb="FFE4D8F0"/>
        </patternFill>
      </fill>
    </dxf>
    <dxf>
      <font>
        <b/>
        <sz val="9"/>
        <color rgb="FF5A5A5A"/>
        <name val="Arial"/>
        <charset val="1"/>
      </font>
      <fill>
        <patternFill>
          <bgColor rgb="FFE7E6E6"/>
        </patternFill>
      </fill>
    </dxf>
    <dxf>
      <font>
        <b/>
        <sz val="9"/>
        <color rgb="FF985A17"/>
        <name val="Arial"/>
        <charset val="1"/>
      </font>
      <fill>
        <patternFill>
          <bgColor rgb="FFFCE0C4"/>
        </patternFill>
      </fill>
    </dxf>
    <dxf>
      <font>
        <b/>
        <sz val="9"/>
        <color rgb="FF5B2E8C"/>
        <name val="Arial"/>
        <charset val="1"/>
      </font>
      <fill>
        <patternFill>
          <bgColor rgb="FFE4D8F0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5A5A5A"/>
        <name val="Arial"/>
        <charset val="1"/>
      </font>
      <fill>
        <patternFill>
          <bgColor rgb="FFE7E6E6"/>
        </patternFill>
      </fill>
    </dxf>
    <dxf>
      <font>
        <b/>
        <sz val="9"/>
        <color rgb="FF985A17"/>
        <name val="Arial"/>
        <charset val="1"/>
      </font>
      <fill>
        <patternFill>
          <bgColor rgb="FFFCE0C4"/>
        </patternFill>
      </fill>
    </dxf>
    <dxf>
      <font>
        <b/>
        <sz val="9"/>
        <color rgb="FF5B2E8C"/>
        <name val="Arial"/>
        <charset val="1"/>
      </font>
      <fill>
        <patternFill>
          <bgColor rgb="FFE4D8F0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5A5A5A"/>
        <name val="Arial"/>
        <charset val="1"/>
      </font>
      <fill>
        <patternFill>
          <bgColor rgb="FFE7E6E6"/>
        </patternFill>
      </fill>
    </dxf>
    <dxf>
      <font>
        <b/>
        <sz val="9"/>
        <color rgb="FF985A17"/>
        <name val="Arial"/>
        <charset val="1"/>
      </font>
      <fill>
        <patternFill>
          <bgColor rgb="FFFCE0C4"/>
        </patternFill>
      </fill>
    </dxf>
    <dxf>
      <font>
        <b/>
        <sz val="9"/>
        <color rgb="FF5B2E8C"/>
        <name val="Arial"/>
        <charset val="1"/>
      </font>
      <fill>
        <patternFill>
          <bgColor rgb="FFE4D8F0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5A5A5A"/>
        <name val="Arial"/>
        <charset val="1"/>
      </font>
      <fill>
        <patternFill>
          <bgColor rgb="FFE7E6E6"/>
        </patternFill>
      </fill>
    </dxf>
    <dxf>
      <font>
        <b/>
        <sz val="9"/>
        <color rgb="FF985A17"/>
        <name val="Arial"/>
        <charset val="1"/>
      </font>
      <fill>
        <patternFill>
          <bgColor rgb="FFFCE0C4"/>
        </patternFill>
      </fill>
    </dxf>
    <dxf>
      <font>
        <b/>
        <sz val="9"/>
        <color rgb="FF5B2E8C"/>
        <name val="Arial"/>
        <charset val="1"/>
      </font>
      <fill>
        <patternFill>
          <bgColor rgb="FFE4D8F0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5A5A5A"/>
        <name val="Arial"/>
        <charset val="1"/>
      </font>
      <fill>
        <patternFill>
          <bgColor rgb="FFE7E6E6"/>
        </patternFill>
      </fill>
    </dxf>
    <dxf>
      <font>
        <b/>
        <sz val="9"/>
        <color rgb="FF985A17"/>
        <name val="Arial"/>
        <charset val="1"/>
      </font>
      <fill>
        <patternFill>
          <bgColor rgb="FFFCE0C4"/>
        </patternFill>
      </fill>
    </dxf>
    <dxf>
      <font>
        <b/>
        <sz val="9"/>
        <color rgb="FF5B2E8C"/>
        <name val="Arial"/>
        <charset val="1"/>
      </font>
      <fill>
        <patternFill>
          <bgColor rgb="FFE4D8F0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5A5A5A"/>
        <name val="Arial"/>
        <charset val="1"/>
      </font>
      <fill>
        <patternFill>
          <bgColor rgb="FFE7E6E6"/>
        </patternFill>
      </fill>
    </dxf>
    <dxf>
      <font>
        <b/>
        <sz val="9"/>
        <color rgb="FF985A17"/>
        <name val="Arial"/>
        <charset val="1"/>
      </font>
      <fill>
        <patternFill>
          <bgColor rgb="FFFCE0C4"/>
        </patternFill>
      </fill>
    </dxf>
    <dxf>
      <font>
        <b/>
        <sz val="9"/>
        <color rgb="FF5B2E8C"/>
        <name val="Arial"/>
        <charset val="1"/>
      </font>
      <fill>
        <patternFill>
          <bgColor rgb="FFE4D8F0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6500"/>
        <name val="Arial"/>
        <charset val="1"/>
      </font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ill>
        <patternFill>
          <bgColor rgb="FFF4F4F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E4D8F0"/>
      <rgbColor rgb="FF808080"/>
      <rgbColor rgb="FF9999FF"/>
      <rgbColor rgb="FF993366"/>
      <rgbColor rgb="FFF4F4F4"/>
      <rgbColor rgb="FFEAF2FA"/>
      <rgbColor rgb="FF660066"/>
      <rgbColor rgb="FFFF8080"/>
      <rgbColor rgb="FF0066CC"/>
      <rgbColor rgb="FFC9D6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FEB9C"/>
      <rgbColor rgb="FFAFCBE3"/>
      <rgbColor rgb="FFFCE0C4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A5A5A"/>
      <rgbColor rgb="FF969696"/>
      <rgbColor rgb="FF1B3A5C"/>
      <rgbColor rgb="FF339966"/>
      <rgbColor rgb="FF003300"/>
      <rgbColor rgb="FF333300"/>
      <rgbColor rgb="FF985A17"/>
      <rgbColor rgb="FF993366"/>
      <rgbColor rgb="FF5B2E8C"/>
      <rgbColor rgb="FF0F25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3"/>
  <sheetViews>
    <sheetView showGridLines="0" zoomScaleNormal="100" workbookViewId="0">
      <pane ySplit="3" topLeftCell="A4" activePane="bottomLeft" state="frozen"/>
      <selection pane="bottomLeft" activeCell="E9" sqref="E9"/>
    </sheetView>
  </sheetViews>
  <sheetFormatPr defaultColWidth="8.6640625" defaultRowHeight="14.4" x14ac:dyDescent="0.3"/>
  <cols>
    <col min="1" max="1" width="11" customWidth="1"/>
    <col min="2" max="2" width="12" customWidth="1"/>
    <col min="3" max="3" width="30" customWidth="1"/>
    <col min="4" max="4" width="24" customWidth="1"/>
    <col min="5" max="6" width="22" customWidth="1"/>
    <col min="7" max="7" width="9" customWidth="1"/>
    <col min="8" max="9" width="10" customWidth="1"/>
    <col min="10" max="10" width="30" customWidth="1"/>
    <col min="11" max="11" width="10" customWidth="1"/>
  </cols>
  <sheetData>
    <row r="1" spans="1:11" ht="33.75" customHeight="1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ht="15" customHeight="1" x14ac:dyDescent="0.3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1" ht="31.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11" ht="15" customHeight="1" x14ac:dyDescent="0.3">
      <c r="A4" s="2" t="str">
        <f t="shared" ref="A4:A35" si="0">IF(B4="","",TEXT(B4,"dddd"))</f>
        <v>Wednesday</v>
      </c>
      <c r="B4" s="3">
        <v>46239</v>
      </c>
      <c r="C4" s="2"/>
      <c r="D4" s="2" t="s">
        <v>44</v>
      </c>
      <c r="E4" s="2" t="s">
        <v>74</v>
      </c>
      <c r="F4" s="2" t="s">
        <v>75</v>
      </c>
      <c r="G4" s="2">
        <v>1</v>
      </c>
      <c r="H4" s="2" t="b">
        <v>1</v>
      </c>
      <c r="I4" s="2" t="b">
        <f>FALSE()</f>
        <v>0</v>
      </c>
      <c r="J4" s="2"/>
      <c r="K4" s="2">
        <f>IF(H4=TRUE(),1,0)</f>
        <v>1</v>
      </c>
    </row>
    <row r="5" spans="1:11" ht="15" customHeight="1" x14ac:dyDescent="0.3">
      <c r="A5" s="4" t="str">
        <f t="shared" si="0"/>
        <v>Thursday</v>
      </c>
      <c r="B5" s="5">
        <v>46240</v>
      </c>
      <c r="C5" s="4"/>
      <c r="D5" s="4"/>
      <c r="E5" s="4"/>
      <c r="F5" s="4"/>
      <c r="G5" s="4"/>
      <c r="H5" s="4" t="b">
        <f>FALSE()</f>
        <v>0</v>
      </c>
      <c r="I5" s="4" t="b">
        <f>FALSE()</f>
        <v>0</v>
      </c>
      <c r="J5" s="4"/>
      <c r="K5" s="4">
        <f t="shared" ref="K5:K36" si="1">IF(H5=TRUE(),K4+1,0)</f>
        <v>0</v>
      </c>
    </row>
    <row r="6" spans="1:11" ht="15" customHeight="1" x14ac:dyDescent="0.3">
      <c r="A6" s="2" t="str">
        <f t="shared" si="0"/>
        <v>Friday</v>
      </c>
      <c r="B6" s="3">
        <v>46241</v>
      </c>
      <c r="C6" s="2"/>
      <c r="D6" s="2"/>
      <c r="E6" s="2"/>
      <c r="F6" s="2"/>
      <c r="G6" s="2"/>
      <c r="H6" s="2" t="b">
        <f>FALSE()</f>
        <v>0</v>
      </c>
      <c r="I6" s="2" t="b">
        <f>FALSE()</f>
        <v>0</v>
      </c>
      <c r="J6" s="2"/>
      <c r="K6" s="2">
        <f t="shared" si="1"/>
        <v>0</v>
      </c>
    </row>
    <row r="7" spans="1:11" ht="15" customHeight="1" x14ac:dyDescent="0.3">
      <c r="A7" s="4" t="str">
        <f t="shared" si="0"/>
        <v>Saturday</v>
      </c>
      <c r="B7" s="5">
        <v>46242</v>
      </c>
      <c r="C7" s="4"/>
      <c r="D7" s="4"/>
      <c r="E7" s="4"/>
      <c r="F7" s="4"/>
      <c r="G7" s="4"/>
      <c r="H7" s="4" t="b">
        <f>FALSE()</f>
        <v>0</v>
      </c>
      <c r="I7" s="4" t="b">
        <f>FALSE()</f>
        <v>0</v>
      </c>
      <c r="J7" s="4"/>
      <c r="K7" s="4">
        <f t="shared" si="1"/>
        <v>0</v>
      </c>
    </row>
    <row r="8" spans="1:11" ht="15" customHeight="1" x14ac:dyDescent="0.3">
      <c r="A8" s="2" t="str">
        <f t="shared" si="0"/>
        <v>Sunday</v>
      </c>
      <c r="B8" s="3">
        <v>46243</v>
      </c>
      <c r="C8" s="2"/>
      <c r="D8" s="2"/>
      <c r="E8" s="2"/>
      <c r="F8" s="2"/>
      <c r="G8" s="2"/>
      <c r="H8" s="2" t="b">
        <f>FALSE()</f>
        <v>0</v>
      </c>
      <c r="I8" s="2" t="b">
        <f>FALSE()</f>
        <v>0</v>
      </c>
      <c r="J8" s="2"/>
      <c r="K8" s="2">
        <f t="shared" si="1"/>
        <v>0</v>
      </c>
    </row>
    <row r="9" spans="1:11" ht="15" customHeight="1" x14ac:dyDescent="0.3">
      <c r="A9" s="4" t="str">
        <f t="shared" si="0"/>
        <v>Monday</v>
      </c>
      <c r="B9" s="5">
        <v>46244</v>
      </c>
      <c r="C9" s="4"/>
      <c r="D9" s="4"/>
      <c r="E9" s="4"/>
      <c r="F9" s="4"/>
      <c r="G9" s="4"/>
      <c r="H9" s="4" t="b">
        <f>FALSE()</f>
        <v>0</v>
      </c>
      <c r="I9" s="4" t="b">
        <f>FALSE()</f>
        <v>0</v>
      </c>
      <c r="J9" s="4"/>
      <c r="K9" s="4">
        <f t="shared" si="1"/>
        <v>0</v>
      </c>
    </row>
    <row r="10" spans="1:11" ht="15" customHeight="1" x14ac:dyDescent="0.3">
      <c r="A10" s="2" t="str">
        <f t="shared" si="0"/>
        <v>Tuesday</v>
      </c>
      <c r="B10" s="3">
        <v>46245</v>
      </c>
      <c r="C10" s="2"/>
      <c r="D10" s="2"/>
      <c r="E10" s="2"/>
      <c r="F10" s="2"/>
      <c r="G10" s="2"/>
      <c r="H10" s="2" t="b">
        <f>FALSE()</f>
        <v>0</v>
      </c>
      <c r="I10" s="2" t="b">
        <f>FALSE()</f>
        <v>0</v>
      </c>
      <c r="J10" s="2"/>
      <c r="K10" s="2">
        <f t="shared" si="1"/>
        <v>0</v>
      </c>
    </row>
    <row r="11" spans="1:11" ht="15" customHeight="1" x14ac:dyDescent="0.3">
      <c r="A11" s="4" t="str">
        <f t="shared" si="0"/>
        <v>Wednesday</v>
      </c>
      <c r="B11" s="5">
        <v>46246</v>
      </c>
      <c r="C11" s="4"/>
      <c r="D11" s="4"/>
      <c r="E11" s="4"/>
      <c r="F11" s="4"/>
      <c r="G11" s="4"/>
      <c r="H11" s="4" t="b">
        <f>FALSE()</f>
        <v>0</v>
      </c>
      <c r="I11" s="4" t="b">
        <f>FALSE()</f>
        <v>0</v>
      </c>
      <c r="J11" s="4"/>
      <c r="K11" s="4">
        <f t="shared" si="1"/>
        <v>0</v>
      </c>
    </row>
    <row r="12" spans="1:11" ht="15" customHeight="1" x14ac:dyDescent="0.3">
      <c r="A12" s="2" t="str">
        <f t="shared" si="0"/>
        <v>Thursday</v>
      </c>
      <c r="B12" s="3">
        <v>46247</v>
      </c>
      <c r="C12" s="2"/>
      <c r="D12" s="2"/>
      <c r="E12" s="2"/>
      <c r="F12" s="2"/>
      <c r="G12" s="2"/>
      <c r="H12" s="2" t="b">
        <f>FALSE()</f>
        <v>0</v>
      </c>
      <c r="I12" s="2" t="b">
        <f>FALSE()</f>
        <v>0</v>
      </c>
      <c r="J12" s="2"/>
      <c r="K12" s="2">
        <f t="shared" si="1"/>
        <v>0</v>
      </c>
    </row>
    <row r="13" spans="1:11" ht="15" customHeight="1" x14ac:dyDescent="0.3">
      <c r="A13" s="4" t="str">
        <f t="shared" si="0"/>
        <v>Friday</v>
      </c>
      <c r="B13" s="5">
        <v>46248</v>
      </c>
      <c r="C13" s="4"/>
      <c r="D13" s="4"/>
      <c r="E13" s="4"/>
      <c r="F13" s="4"/>
      <c r="G13" s="4"/>
      <c r="H13" s="4" t="b">
        <f>FALSE()</f>
        <v>0</v>
      </c>
      <c r="I13" s="4" t="b">
        <f>FALSE()</f>
        <v>0</v>
      </c>
      <c r="J13" s="4"/>
      <c r="K13" s="4">
        <f t="shared" si="1"/>
        <v>0</v>
      </c>
    </row>
    <row r="14" spans="1:11" ht="15" customHeight="1" x14ac:dyDescent="0.3">
      <c r="A14" s="2" t="str">
        <f t="shared" si="0"/>
        <v>Saturday</v>
      </c>
      <c r="B14" s="3">
        <v>46249</v>
      </c>
      <c r="C14" s="2"/>
      <c r="D14" s="2"/>
      <c r="E14" s="2"/>
      <c r="F14" s="2"/>
      <c r="G14" s="2"/>
      <c r="H14" s="2" t="b">
        <f>FALSE()</f>
        <v>0</v>
      </c>
      <c r="I14" s="2" t="b">
        <f>FALSE()</f>
        <v>0</v>
      </c>
      <c r="J14" s="2"/>
      <c r="K14" s="2">
        <f t="shared" si="1"/>
        <v>0</v>
      </c>
    </row>
    <row r="15" spans="1:11" ht="15" customHeight="1" x14ac:dyDescent="0.3">
      <c r="A15" s="4" t="str">
        <f t="shared" si="0"/>
        <v>Sunday</v>
      </c>
      <c r="B15" s="5">
        <v>46250</v>
      </c>
      <c r="C15" s="4"/>
      <c r="D15" s="4"/>
      <c r="E15" s="4"/>
      <c r="F15" s="4"/>
      <c r="G15" s="4"/>
      <c r="H15" s="4" t="b">
        <f>FALSE()</f>
        <v>0</v>
      </c>
      <c r="I15" s="4" t="b">
        <f>FALSE()</f>
        <v>0</v>
      </c>
      <c r="J15" s="4"/>
      <c r="K15" s="4">
        <f t="shared" si="1"/>
        <v>0</v>
      </c>
    </row>
    <row r="16" spans="1:11" ht="15" customHeight="1" x14ac:dyDescent="0.3">
      <c r="A16" s="2" t="str">
        <f t="shared" si="0"/>
        <v>Monday</v>
      </c>
      <c r="B16" s="3">
        <v>46251</v>
      </c>
      <c r="C16" s="2"/>
      <c r="D16" s="2"/>
      <c r="E16" s="2"/>
      <c r="F16" s="2"/>
      <c r="G16" s="2"/>
      <c r="H16" s="2" t="b">
        <f>FALSE()</f>
        <v>0</v>
      </c>
      <c r="I16" s="2" t="b">
        <f>FALSE()</f>
        <v>0</v>
      </c>
      <c r="J16" s="2"/>
      <c r="K16" s="2">
        <f t="shared" si="1"/>
        <v>0</v>
      </c>
    </row>
    <row r="17" spans="1:11" ht="15" customHeight="1" x14ac:dyDescent="0.3">
      <c r="A17" s="4" t="str">
        <f t="shared" si="0"/>
        <v>Tuesday</v>
      </c>
      <c r="B17" s="5">
        <v>46252</v>
      </c>
      <c r="C17" s="4"/>
      <c r="D17" s="4"/>
      <c r="E17" s="4"/>
      <c r="F17" s="4"/>
      <c r="G17" s="4"/>
      <c r="H17" s="4" t="b">
        <f>FALSE()</f>
        <v>0</v>
      </c>
      <c r="I17" s="4" t="b">
        <f>FALSE()</f>
        <v>0</v>
      </c>
      <c r="J17" s="4"/>
      <c r="K17" s="4">
        <f t="shared" si="1"/>
        <v>0</v>
      </c>
    </row>
    <row r="18" spans="1:11" ht="15" customHeight="1" x14ac:dyDescent="0.3">
      <c r="A18" s="2" t="str">
        <f t="shared" si="0"/>
        <v>Wednesday</v>
      </c>
      <c r="B18" s="3">
        <v>46253</v>
      </c>
      <c r="C18" s="2"/>
      <c r="D18" s="2"/>
      <c r="E18" s="2"/>
      <c r="F18" s="2"/>
      <c r="G18" s="2"/>
      <c r="H18" s="2" t="b">
        <f>FALSE()</f>
        <v>0</v>
      </c>
      <c r="I18" s="2" t="b">
        <f>FALSE()</f>
        <v>0</v>
      </c>
      <c r="J18" s="2"/>
      <c r="K18" s="2">
        <f t="shared" si="1"/>
        <v>0</v>
      </c>
    </row>
    <row r="19" spans="1:11" ht="15" customHeight="1" x14ac:dyDescent="0.3">
      <c r="A19" s="4" t="str">
        <f t="shared" si="0"/>
        <v>Thursday</v>
      </c>
      <c r="B19" s="5">
        <v>46254</v>
      </c>
      <c r="C19" s="4"/>
      <c r="D19" s="4"/>
      <c r="E19" s="4"/>
      <c r="F19" s="4"/>
      <c r="G19" s="4"/>
      <c r="H19" s="4" t="b">
        <f>FALSE()</f>
        <v>0</v>
      </c>
      <c r="I19" s="4" t="b">
        <f>FALSE()</f>
        <v>0</v>
      </c>
      <c r="J19" s="4"/>
      <c r="K19" s="4">
        <f t="shared" si="1"/>
        <v>0</v>
      </c>
    </row>
    <row r="20" spans="1:11" ht="15" customHeight="1" x14ac:dyDescent="0.3">
      <c r="A20" s="2" t="str">
        <f t="shared" si="0"/>
        <v>Friday</v>
      </c>
      <c r="B20" s="3">
        <v>46255</v>
      </c>
      <c r="C20" s="2"/>
      <c r="D20" s="2"/>
      <c r="E20" s="2"/>
      <c r="F20" s="2"/>
      <c r="G20" s="2"/>
      <c r="H20" s="2" t="b">
        <f>FALSE()</f>
        <v>0</v>
      </c>
      <c r="I20" s="2" t="b">
        <f>FALSE()</f>
        <v>0</v>
      </c>
      <c r="J20" s="2"/>
      <c r="K20" s="2">
        <f t="shared" si="1"/>
        <v>0</v>
      </c>
    </row>
    <row r="21" spans="1:11" ht="15" customHeight="1" x14ac:dyDescent="0.3">
      <c r="A21" s="4" t="str">
        <f t="shared" si="0"/>
        <v>Saturday</v>
      </c>
      <c r="B21" s="5">
        <v>46256</v>
      </c>
      <c r="C21" s="4"/>
      <c r="D21" s="4"/>
      <c r="E21" s="4"/>
      <c r="F21" s="4"/>
      <c r="G21" s="4"/>
      <c r="H21" s="4" t="b">
        <f>FALSE()</f>
        <v>0</v>
      </c>
      <c r="I21" s="4" t="b">
        <f>FALSE()</f>
        <v>0</v>
      </c>
      <c r="J21" s="4"/>
      <c r="K21" s="4">
        <f t="shared" si="1"/>
        <v>0</v>
      </c>
    </row>
    <row r="22" spans="1:11" ht="15" customHeight="1" x14ac:dyDescent="0.3">
      <c r="A22" s="2" t="str">
        <f t="shared" si="0"/>
        <v>Sunday</v>
      </c>
      <c r="B22" s="3">
        <v>46257</v>
      </c>
      <c r="C22" s="2"/>
      <c r="D22" s="2"/>
      <c r="E22" s="2"/>
      <c r="F22" s="2"/>
      <c r="G22" s="2"/>
      <c r="H22" s="2" t="b">
        <f>FALSE()</f>
        <v>0</v>
      </c>
      <c r="I22" s="2" t="b">
        <f>FALSE()</f>
        <v>0</v>
      </c>
      <c r="J22" s="2"/>
      <c r="K22" s="2">
        <f t="shared" si="1"/>
        <v>0</v>
      </c>
    </row>
    <row r="23" spans="1:11" ht="15" customHeight="1" x14ac:dyDescent="0.3">
      <c r="A23" s="4" t="str">
        <f t="shared" si="0"/>
        <v>Monday</v>
      </c>
      <c r="B23" s="5">
        <v>46258</v>
      </c>
      <c r="C23" s="4"/>
      <c r="D23" s="4"/>
      <c r="E23" s="4"/>
      <c r="F23" s="4"/>
      <c r="G23" s="4"/>
      <c r="H23" s="4" t="b">
        <f>FALSE()</f>
        <v>0</v>
      </c>
      <c r="I23" s="4" t="b">
        <f>FALSE()</f>
        <v>0</v>
      </c>
      <c r="J23" s="4"/>
      <c r="K23" s="4">
        <f t="shared" si="1"/>
        <v>0</v>
      </c>
    </row>
    <row r="24" spans="1:11" ht="15" customHeight="1" x14ac:dyDescent="0.3">
      <c r="A24" s="2" t="str">
        <f t="shared" si="0"/>
        <v>Tuesday</v>
      </c>
      <c r="B24" s="3">
        <v>46259</v>
      </c>
      <c r="C24" s="2"/>
      <c r="D24" s="2"/>
      <c r="E24" s="2"/>
      <c r="F24" s="2"/>
      <c r="G24" s="2"/>
      <c r="H24" s="2" t="b">
        <f>FALSE()</f>
        <v>0</v>
      </c>
      <c r="I24" s="2" t="b">
        <f>FALSE()</f>
        <v>0</v>
      </c>
      <c r="J24" s="2"/>
      <c r="K24" s="2">
        <f t="shared" si="1"/>
        <v>0</v>
      </c>
    </row>
    <row r="25" spans="1:11" ht="15" customHeight="1" x14ac:dyDescent="0.3">
      <c r="A25" s="4" t="str">
        <f t="shared" si="0"/>
        <v>Wednesday</v>
      </c>
      <c r="B25" s="5">
        <v>46260</v>
      </c>
      <c r="C25" s="4"/>
      <c r="D25" s="4"/>
      <c r="E25" s="4"/>
      <c r="F25" s="4"/>
      <c r="G25" s="4"/>
      <c r="H25" s="4" t="b">
        <f>FALSE()</f>
        <v>0</v>
      </c>
      <c r="I25" s="4" t="b">
        <f>FALSE()</f>
        <v>0</v>
      </c>
      <c r="J25" s="4"/>
      <c r="K25" s="4">
        <f t="shared" si="1"/>
        <v>0</v>
      </c>
    </row>
    <row r="26" spans="1:11" ht="15" customHeight="1" x14ac:dyDescent="0.3">
      <c r="A26" s="2" t="str">
        <f t="shared" si="0"/>
        <v>Thursday</v>
      </c>
      <c r="B26" s="3">
        <v>46261</v>
      </c>
      <c r="C26" s="2"/>
      <c r="D26" s="2"/>
      <c r="E26" s="2"/>
      <c r="F26" s="2"/>
      <c r="G26" s="2"/>
      <c r="H26" s="2" t="b">
        <f>FALSE()</f>
        <v>0</v>
      </c>
      <c r="I26" s="2" t="b">
        <f>FALSE()</f>
        <v>0</v>
      </c>
      <c r="J26" s="2"/>
      <c r="K26" s="2">
        <f t="shared" si="1"/>
        <v>0</v>
      </c>
    </row>
    <row r="27" spans="1:11" ht="15" customHeight="1" x14ac:dyDescent="0.3">
      <c r="A27" s="4" t="str">
        <f t="shared" si="0"/>
        <v>Friday</v>
      </c>
      <c r="B27" s="5">
        <v>46262</v>
      </c>
      <c r="C27" s="4"/>
      <c r="D27" s="4"/>
      <c r="E27" s="4"/>
      <c r="F27" s="4"/>
      <c r="G27" s="4"/>
      <c r="H27" s="4" t="b">
        <f>FALSE()</f>
        <v>0</v>
      </c>
      <c r="I27" s="4" t="b">
        <f>FALSE()</f>
        <v>0</v>
      </c>
      <c r="J27" s="4"/>
      <c r="K27" s="4">
        <f t="shared" si="1"/>
        <v>0</v>
      </c>
    </row>
    <row r="28" spans="1:11" ht="15" customHeight="1" x14ac:dyDescent="0.3">
      <c r="A28" s="2" t="str">
        <f t="shared" si="0"/>
        <v>Saturday</v>
      </c>
      <c r="B28" s="3">
        <v>46263</v>
      </c>
      <c r="C28" s="2"/>
      <c r="D28" s="2"/>
      <c r="E28" s="2"/>
      <c r="F28" s="2"/>
      <c r="G28" s="2"/>
      <c r="H28" s="2" t="b">
        <f>FALSE()</f>
        <v>0</v>
      </c>
      <c r="I28" s="2" t="b">
        <f>FALSE()</f>
        <v>0</v>
      </c>
      <c r="J28" s="2"/>
      <c r="K28" s="2">
        <f t="shared" si="1"/>
        <v>0</v>
      </c>
    </row>
    <row r="29" spans="1:11" ht="15" customHeight="1" x14ac:dyDescent="0.3">
      <c r="A29" s="4" t="str">
        <f t="shared" si="0"/>
        <v>Sunday</v>
      </c>
      <c r="B29" s="5">
        <v>46264</v>
      </c>
      <c r="C29" s="4"/>
      <c r="D29" s="4"/>
      <c r="E29" s="4"/>
      <c r="F29" s="4"/>
      <c r="G29" s="4"/>
      <c r="H29" s="4" t="b">
        <f>FALSE()</f>
        <v>0</v>
      </c>
      <c r="I29" s="4" t="b">
        <f>FALSE()</f>
        <v>0</v>
      </c>
      <c r="J29" s="4"/>
      <c r="K29" s="4">
        <f t="shared" si="1"/>
        <v>0</v>
      </c>
    </row>
    <row r="30" spans="1:11" ht="15" customHeight="1" x14ac:dyDescent="0.3">
      <c r="A30" s="2" t="str">
        <f t="shared" si="0"/>
        <v>Monday</v>
      </c>
      <c r="B30" s="3">
        <v>46265</v>
      </c>
      <c r="C30" s="2"/>
      <c r="D30" s="2"/>
      <c r="E30" s="2"/>
      <c r="F30" s="2"/>
      <c r="G30" s="2"/>
      <c r="H30" s="2" t="b">
        <f>FALSE()</f>
        <v>0</v>
      </c>
      <c r="I30" s="2" t="b">
        <f>FALSE()</f>
        <v>0</v>
      </c>
      <c r="J30" s="2"/>
      <c r="K30" s="2">
        <f t="shared" si="1"/>
        <v>0</v>
      </c>
    </row>
    <row r="31" spans="1:11" ht="15" customHeight="1" x14ac:dyDescent="0.3">
      <c r="A31" s="4" t="str">
        <f t="shared" si="0"/>
        <v>Tuesday</v>
      </c>
      <c r="B31" s="5">
        <v>46266</v>
      </c>
      <c r="C31" s="4"/>
      <c r="D31" s="4"/>
      <c r="E31" s="4"/>
      <c r="F31" s="4"/>
      <c r="G31" s="4"/>
      <c r="H31" s="4" t="b">
        <f>FALSE()</f>
        <v>0</v>
      </c>
      <c r="I31" s="4" t="b">
        <f>FALSE()</f>
        <v>0</v>
      </c>
      <c r="J31" s="4"/>
      <c r="K31" s="4">
        <f t="shared" si="1"/>
        <v>0</v>
      </c>
    </row>
    <row r="32" spans="1:11" ht="15" customHeight="1" x14ac:dyDescent="0.3">
      <c r="A32" s="2" t="str">
        <f t="shared" si="0"/>
        <v>Wednesday</v>
      </c>
      <c r="B32" s="3">
        <v>46267</v>
      </c>
      <c r="C32" s="2"/>
      <c r="D32" s="2"/>
      <c r="E32" s="2"/>
      <c r="F32" s="2"/>
      <c r="G32" s="2"/>
      <c r="H32" s="2" t="b">
        <f>FALSE()</f>
        <v>0</v>
      </c>
      <c r="I32" s="2" t="b">
        <f>FALSE()</f>
        <v>0</v>
      </c>
      <c r="J32" s="2"/>
      <c r="K32" s="2">
        <f t="shared" si="1"/>
        <v>0</v>
      </c>
    </row>
    <row r="33" spans="1:11" ht="15" customHeight="1" x14ac:dyDescent="0.3">
      <c r="A33" s="4" t="str">
        <f t="shared" si="0"/>
        <v>Thursday</v>
      </c>
      <c r="B33" s="5">
        <v>46268</v>
      </c>
      <c r="C33" s="4"/>
      <c r="D33" s="4"/>
      <c r="E33" s="4"/>
      <c r="F33" s="4"/>
      <c r="G33" s="4"/>
      <c r="H33" s="4" t="b">
        <f>FALSE()</f>
        <v>0</v>
      </c>
      <c r="I33" s="4" t="b">
        <f>FALSE()</f>
        <v>0</v>
      </c>
      <c r="J33" s="4"/>
      <c r="K33" s="4">
        <f t="shared" si="1"/>
        <v>0</v>
      </c>
    </row>
    <row r="34" spans="1:11" ht="15" customHeight="1" x14ac:dyDescent="0.3">
      <c r="A34" s="2" t="str">
        <f t="shared" si="0"/>
        <v>Friday</v>
      </c>
      <c r="B34" s="3">
        <v>46269</v>
      </c>
      <c r="C34" s="2"/>
      <c r="D34" s="2"/>
      <c r="E34" s="2"/>
      <c r="F34" s="2"/>
      <c r="G34" s="2"/>
      <c r="H34" s="2" t="b">
        <f>FALSE()</f>
        <v>0</v>
      </c>
      <c r="I34" s="2" t="b">
        <f>FALSE()</f>
        <v>0</v>
      </c>
      <c r="J34" s="2"/>
      <c r="K34" s="2">
        <f t="shared" si="1"/>
        <v>0</v>
      </c>
    </row>
    <row r="35" spans="1:11" ht="15" customHeight="1" x14ac:dyDescent="0.3">
      <c r="A35" s="4" t="str">
        <f t="shared" si="0"/>
        <v>Saturday</v>
      </c>
      <c r="B35" s="5">
        <v>46270</v>
      </c>
      <c r="C35" s="4"/>
      <c r="D35" s="4"/>
      <c r="E35" s="4"/>
      <c r="F35" s="4"/>
      <c r="G35" s="4"/>
      <c r="H35" s="4" t="b">
        <f>FALSE()</f>
        <v>0</v>
      </c>
      <c r="I35" s="4" t="b">
        <f>FALSE()</f>
        <v>0</v>
      </c>
      <c r="J35" s="4"/>
      <c r="K35" s="4">
        <f t="shared" si="1"/>
        <v>0</v>
      </c>
    </row>
    <row r="36" spans="1:11" ht="15" customHeight="1" x14ac:dyDescent="0.3">
      <c r="A36" s="2" t="str">
        <f t="shared" ref="A36:A67" si="2">IF(B36="","",TEXT(B36,"dddd"))</f>
        <v>Sunday</v>
      </c>
      <c r="B36" s="3">
        <v>46271</v>
      </c>
      <c r="C36" s="2"/>
      <c r="D36" s="2"/>
      <c r="E36" s="2"/>
      <c r="F36" s="2"/>
      <c r="G36" s="2"/>
      <c r="H36" s="2" t="b">
        <f>FALSE()</f>
        <v>0</v>
      </c>
      <c r="I36" s="2" t="b">
        <f>FALSE()</f>
        <v>0</v>
      </c>
      <c r="J36" s="2"/>
      <c r="K36" s="2">
        <f t="shared" si="1"/>
        <v>0</v>
      </c>
    </row>
    <row r="37" spans="1:11" ht="15" customHeight="1" x14ac:dyDescent="0.3">
      <c r="A37" s="4" t="str">
        <f t="shared" si="2"/>
        <v>Monday</v>
      </c>
      <c r="B37" s="5">
        <v>46272</v>
      </c>
      <c r="C37" s="4"/>
      <c r="D37" s="4"/>
      <c r="E37" s="4"/>
      <c r="F37" s="4"/>
      <c r="G37" s="4"/>
      <c r="H37" s="4" t="b">
        <f>FALSE()</f>
        <v>0</v>
      </c>
      <c r="I37" s="4" t="b">
        <f>FALSE()</f>
        <v>0</v>
      </c>
      <c r="J37" s="4"/>
      <c r="K37" s="4">
        <f t="shared" ref="K37:K68" si="3">IF(H37=TRUE(),K36+1,0)</f>
        <v>0</v>
      </c>
    </row>
    <row r="38" spans="1:11" ht="15" customHeight="1" x14ac:dyDescent="0.3">
      <c r="A38" s="2" t="str">
        <f t="shared" si="2"/>
        <v>Tuesday</v>
      </c>
      <c r="B38" s="3">
        <v>46273</v>
      </c>
      <c r="C38" s="2"/>
      <c r="D38" s="2"/>
      <c r="E38" s="2"/>
      <c r="F38" s="2"/>
      <c r="G38" s="2"/>
      <c r="H38" s="2" t="b">
        <f>FALSE()</f>
        <v>0</v>
      </c>
      <c r="I38" s="2" t="b">
        <f>FALSE()</f>
        <v>0</v>
      </c>
      <c r="J38" s="2"/>
      <c r="K38" s="2">
        <f t="shared" si="3"/>
        <v>0</v>
      </c>
    </row>
    <row r="39" spans="1:11" ht="15" customHeight="1" x14ac:dyDescent="0.3">
      <c r="A39" s="4" t="str">
        <f t="shared" si="2"/>
        <v>Wednesday</v>
      </c>
      <c r="B39" s="5">
        <v>46274</v>
      </c>
      <c r="C39" s="4"/>
      <c r="D39" s="4"/>
      <c r="E39" s="4"/>
      <c r="F39" s="4"/>
      <c r="G39" s="4"/>
      <c r="H39" s="4" t="b">
        <f>FALSE()</f>
        <v>0</v>
      </c>
      <c r="I39" s="4" t="b">
        <f>FALSE()</f>
        <v>0</v>
      </c>
      <c r="J39" s="4"/>
      <c r="K39" s="4">
        <f t="shared" si="3"/>
        <v>0</v>
      </c>
    </row>
    <row r="40" spans="1:11" ht="15" customHeight="1" x14ac:dyDescent="0.3">
      <c r="A40" s="2" t="str">
        <f t="shared" si="2"/>
        <v>Thursday</v>
      </c>
      <c r="B40" s="3">
        <v>46275</v>
      </c>
      <c r="C40" s="2"/>
      <c r="D40" s="2"/>
      <c r="E40" s="2"/>
      <c r="F40" s="2"/>
      <c r="G40" s="2"/>
      <c r="H40" s="2" t="b">
        <f>FALSE()</f>
        <v>0</v>
      </c>
      <c r="I40" s="2" t="b">
        <f>FALSE()</f>
        <v>0</v>
      </c>
      <c r="J40" s="2"/>
      <c r="K40" s="2">
        <f t="shared" si="3"/>
        <v>0</v>
      </c>
    </row>
    <row r="41" spans="1:11" ht="15" customHeight="1" x14ac:dyDescent="0.3">
      <c r="A41" s="4" t="str">
        <f t="shared" si="2"/>
        <v>Friday</v>
      </c>
      <c r="B41" s="5">
        <v>46276</v>
      </c>
      <c r="C41" s="4"/>
      <c r="D41" s="4"/>
      <c r="E41" s="4"/>
      <c r="F41" s="4"/>
      <c r="G41" s="4"/>
      <c r="H41" s="4" t="b">
        <f>FALSE()</f>
        <v>0</v>
      </c>
      <c r="I41" s="4" t="b">
        <f>FALSE()</f>
        <v>0</v>
      </c>
      <c r="J41" s="4"/>
      <c r="K41" s="4">
        <f t="shared" si="3"/>
        <v>0</v>
      </c>
    </row>
    <row r="42" spans="1:11" ht="15" customHeight="1" x14ac:dyDescent="0.3">
      <c r="A42" s="2" t="str">
        <f t="shared" si="2"/>
        <v>Saturday</v>
      </c>
      <c r="B42" s="3">
        <v>46277</v>
      </c>
      <c r="C42" s="2"/>
      <c r="D42" s="2"/>
      <c r="E42" s="2"/>
      <c r="F42" s="2"/>
      <c r="G42" s="2"/>
      <c r="H42" s="2" t="b">
        <f>FALSE()</f>
        <v>0</v>
      </c>
      <c r="I42" s="2" t="b">
        <f>FALSE()</f>
        <v>0</v>
      </c>
      <c r="J42" s="2"/>
      <c r="K42" s="2">
        <f t="shared" si="3"/>
        <v>0</v>
      </c>
    </row>
    <row r="43" spans="1:11" ht="15" customHeight="1" x14ac:dyDescent="0.3">
      <c r="A43" s="4" t="str">
        <f t="shared" si="2"/>
        <v>Sunday</v>
      </c>
      <c r="B43" s="5">
        <v>46278</v>
      </c>
      <c r="C43" s="4"/>
      <c r="D43" s="4"/>
      <c r="E43" s="4"/>
      <c r="F43" s="4"/>
      <c r="G43" s="4"/>
      <c r="H43" s="4" t="b">
        <f>FALSE()</f>
        <v>0</v>
      </c>
      <c r="I43" s="4" t="b">
        <f>FALSE()</f>
        <v>0</v>
      </c>
      <c r="J43" s="4"/>
      <c r="K43" s="4">
        <f t="shared" si="3"/>
        <v>0</v>
      </c>
    </row>
    <row r="44" spans="1:11" ht="15" customHeight="1" x14ac:dyDescent="0.3">
      <c r="A44" s="2" t="str">
        <f t="shared" si="2"/>
        <v>Monday</v>
      </c>
      <c r="B44" s="3">
        <v>46279</v>
      </c>
      <c r="C44" s="2"/>
      <c r="D44" s="2"/>
      <c r="E44" s="2"/>
      <c r="F44" s="2"/>
      <c r="G44" s="2"/>
      <c r="H44" s="2" t="b">
        <f>FALSE()</f>
        <v>0</v>
      </c>
      <c r="I44" s="2" t="b">
        <f>FALSE()</f>
        <v>0</v>
      </c>
      <c r="J44" s="2"/>
      <c r="K44" s="2">
        <f t="shared" si="3"/>
        <v>0</v>
      </c>
    </row>
    <row r="45" spans="1:11" ht="15" customHeight="1" x14ac:dyDescent="0.3">
      <c r="A45" s="4" t="str">
        <f t="shared" si="2"/>
        <v>Tuesday</v>
      </c>
      <c r="B45" s="5">
        <v>46280</v>
      </c>
      <c r="C45" s="4"/>
      <c r="D45" s="4"/>
      <c r="E45" s="4"/>
      <c r="F45" s="4"/>
      <c r="G45" s="4"/>
      <c r="H45" s="4" t="b">
        <f>FALSE()</f>
        <v>0</v>
      </c>
      <c r="I45" s="4" t="b">
        <f>FALSE()</f>
        <v>0</v>
      </c>
      <c r="J45" s="4"/>
      <c r="K45" s="4">
        <f t="shared" si="3"/>
        <v>0</v>
      </c>
    </row>
    <row r="46" spans="1:11" ht="15" customHeight="1" x14ac:dyDescent="0.3">
      <c r="A46" s="2" t="str">
        <f t="shared" si="2"/>
        <v>Wednesday</v>
      </c>
      <c r="B46" s="3">
        <v>46281</v>
      </c>
      <c r="C46" s="2"/>
      <c r="D46" s="2"/>
      <c r="E46" s="2"/>
      <c r="F46" s="2"/>
      <c r="G46" s="2"/>
      <c r="H46" s="2" t="b">
        <f>FALSE()</f>
        <v>0</v>
      </c>
      <c r="I46" s="2" t="b">
        <f>FALSE()</f>
        <v>0</v>
      </c>
      <c r="J46" s="2"/>
      <c r="K46" s="2">
        <f t="shared" si="3"/>
        <v>0</v>
      </c>
    </row>
    <row r="47" spans="1:11" ht="15" customHeight="1" x14ac:dyDescent="0.3">
      <c r="A47" s="4" t="str">
        <f t="shared" si="2"/>
        <v>Thursday</v>
      </c>
      <c r="B47" s="5">
        <v>46282</v>
      </c>
      <c r="C47" s="4"/>
      <c r="D47" s="4"/>
      <c r="E47" s="4"/>
      <c r="F47" s="4"/>
      <c r="G47" s="4"/>
      <c r="H47" s="4" t="b">
        <f>FALSE()</f>
        <v>0</v>
      </c>
      <c r="I47" s="4" t="b">
        <f>FALSE()</f>
        <v>0</v>
      </c>
      <c r="J47" s="4"/>
      <c r="K47" s="4">
        <f t="shared" si="3"/>
        <v>0</v>
      </c>
    </row>
    <row r="48" spans="1:11" ht="15" customHeight="1" x14ac:dyDescent="0.3">
      <c r="A48" s="2" t="str">
        <f t="shared" si="2"/>
        <v>Friday</v>
      </c>
      <c r="B48" s="3">
        <v>46283</v>
      </c>
      <c r="C48" s="2"/>
      <c r="D48" s="2"/>
      <c r="E48" s="2"/>
      <c r="F48" s="2"/>
      <c r="G48" s="2"/>
      <c r="H48" s="2" t="b">
        <f>FALSE()</f>
        <v>0</v>
      </c>
      <c r="I48" s="2" t="b">
        <f>FALSE()</f>
        <v>0</v>
      </c>
      <c r="J48" s="2"/>
      <c r="K48" s="2">
        <f t="shared" si="3"/>
        <v>0</v>
      </c>
    </row>
    <row r="49" spans="1:11" ht="15" customHeight="1" x14ac:dyDescent="0.3">
      <c r="A49" s="4" t="str">
        <f t="shared" si="2"/>
        <v>Saturday</v>
      </c>
      <c r="B49" s="5">
        <v>46284</v>
      </c>
      <c r="C49" s="4"/>
      <c r="D49" s="4"/>
      <c r="E49" s="4"/>
      <c r="F49" s="4"/>
      <c r="G49" s="4"/>
      <c r="H49" s="4" t="b">
        <f>FALSE()</f>
        <v>0</v>
      </c>
      <c r="I49" s="4" t="b">
        <f>FALSE()</f>
        <v>0</v>
      </c>
      <c r="J49" s="4"/>
      <c r="K49" s="4">
        <f t="shared" si="3"/>
        <v>0</v>
      </c>
    </row>
    <row r="50" spans="1:11" ht="15" customHeight="1" x14ac:dyDescent="0.3">
      <c r="A50" s="2" t="str">
        <f t="shared" si="2"/>
        <v>Sunday</v>
      </c>
      <c r="B50" s="3">
        <v>46285</v>
      </c>
      <c r="C50" s="2"/>
      <c r="D50" s="2"/>
      <c r="E50" s="2"/>
      <c r="F50" s="2"/>
      <c r="G50" s="2"/>
      <c r="H50" s="2" t="b">
        <f>FALSE()</f>
        <v>0</v>
      </c>
      <c r="I50" s="2" t="b">
        <f>FALSE()</f>
        <v>0</v>
      </c>
      <c r="J50" s="2"/>
      <c r="K50" s="2">
        <f t="shared" si="3"/>
        <v>0</v>
      </c>
    </row>
    <row r="51" spans="1:11" ht="15" customHeight="1" x14ac:dyDescent="0.3">
      <c r="A51" s="4" t="str">
        <f t="shared" si="2"/>
        <v>Monday</v>
      </c>
      <c r="B51" s="5">
        <v>46286</v>
      </c>
      <c r="C51" s="4"/>
      <c r="D51" s="4"/>
      <c r="E51" s="4"/>
      <c r="F51" s="4"/>
      <c r="G51" s="4"/>
      <c r="H51" s="4" t="b">
        <f>FALSE()</f>
        <v>0</v>
      </c>
      <c r="I51" s="4" t="b">
        <f>FALSE()</f>
        <v>0</v>
      </c>
      <c r="J51" s="4"/>
      <c r="K51" s="4">
        <f t="shared" si="3"/>
        <v>0</v>
      </c>
    </row>
    <row r="52" spans="1:11" ht="15" customHeight="1" x14ac:dyDescent="0.3">
      <c r="A52" s="2" t="str">
        <f t="shared" si="2"/>
        <v>Tuesday</v>
      </c>
      <c r="B52" s="3">
        <v>46287</v>
      </c>
      <c r="C52" s="2"/>
      <c r="D52" s="2"/>
      <c r="E52" s="2"/>
      <c r="F52" s="2"/>
      <c r="G52" s="2"/>
      <c r="H52" s="2" t="b">
        <f>FALSE()</f>
        <v>0</v>
      </c>
      <c r="I52" s="2" t="b">
        <f>FALSE()</f>
        <v>0</v>
      </c>
      <c r="J52" s="2"/>
      <c r="K52" s="2">
        <f t="shared" si="3"/>
        <v>0</v>
      </c>
    </row>
    <row r="53" spans="1:11" ht="15" customHeight="1" x14ac:dyDescent="0.3">
      <c r="A53" s="4" t="str">
        <f t="shared" si="2"/>
        <v>Wednesday</v>
      </c>
      <c r="B53" s="5">
        <v>46288</v>
      </c>
      <c r="C53" s="4"/>
      <c r="D53" s="4"/>
      <c r="E53" s="4"/>
      <c r="F53" s="4"/>
      <c r="G53" s="4"/>
      <c r="H53" s="4" t="b">
        <f>FALSE()</f>
        <v>0</v>
      </c>
      <c r="I53" s="4" t="b">
        <f>FALSE()</f>
        <v>0</v>
      </c>
      <c r="J53" s="4"/>
      <c r="K53" s="4">
        <f t="shared" si="3"/>
        <v>0</v>
      </c>
    </row>
    <row r="54" spans="1:11" ht="15" customHeight="1" x14ac:dyDescent="0.3">
      <c r="A54" s="2" t="str">
        <f t="shared" si="2"/>
        <v>Thursday</v>
      </c>
      <c r="B54" s="3">
        <v>46289</v>
      </c>
      <c r="C54" s="2"/>
      <c r="D54" s="2"/>
      <c r="E54" s="2"/>
      <c r="F54" s="2"/>
      <c r="G54" s="2"/>
      <c r="H54" s="2" t="b">
        <f>FALSE()</f>
        <v>0</v>
      </c>
      <c r="I54" s="2" t="b">
        <f>FALSE()</f>
        <v>0</v>
      </c>
      <c r="J54" s="2"/>
      <c r="K54" s="2">
        <f t="shared" si="3"/>
        <v>0</v>
      </c>
    </row>
    <row r="55" spans="1:11" ht="15" customHeight="1" x14ac:dyDescent="0.3">
      <c r="A55" s="4" t="str">
        <f t="shared" si="2"/>
        <v>Friday</v>
      </c>
      <c r="B55" s="5">
        <v>46290</v>
      </c>
      <c r="C55" s="4"/>
      <c r="D55" s="4"/>
      <c r="E55" s="4"/>
      <c r="F55" s="4"/>
      <c r="G55" s="4"/>
      <c r="H55" s="4" t="b">
        <f>FALSE()</f>
        <v>0</v>
      </c>
      <c r="I55" s="4" t="b">
        <f>FALSE()</f>
        <v>0</v>
      </c>
      <c r="J55" s="4"/>
      <c r="K55" s="4">
        <f t="shared" si="3"/>
        <v>0</v>
      </c>
    </row>
    <row r="56" spans="1:11" ht="15" customHeight="1" x14ac:dyDescent="0.3">
      <c r="A56" s="2" t="str">
        <f t="shared" si="2"/>
        <v>Saturday</v>
      </c>
      <c r="B56" s="3">
        <v>46291</v>
      </c>
      <c r="C56" s="2"/>
      <c r="D56" s="2"/>
      <c r="E56" s="2"/>
      <c r="F56" s="2"/>
      <c r="G56" s="2"/>
      <c r="H56" s="2" t="b">
        <f>FALSE()</f>
        <v>0</v>
      </c>
      <c r="I56" s="2" t="b">
        <f>FALSE()</f>
        <v>0</v>
      </c>
      <c r="J56" s="2"/>
      <c r="K56" s="2">
        <f t="shared" si="3"/>
        <v>0</v>
      </c>
    </row>
    <row r="57" spans="1:11" ht="15" customHeight="1" x14ac:dyDescent="0.3">
      <c r="A57" s="4" t="str">
        <f t="shared" si="2"/>
        <v>Sunday</v>
      </c>
      <c r="B57" s="5">
        <v>46292</v>
      </c>
      <c r="C57" s="4"/>
      <c r="D57" s="4"/>
      <c r="E57" s="4"/>
      <c r="F57" s="4"/>
      <c r="G57" s="4"/>
      <c r="H57" s="4" t="b">
        <f>FALSE()</f>
        <v>0</v>
      </c>
      <c r="I57" s="4" t="b">
        <f>FALSE()</f>
        <v>0</v>
      </c>
      <c r="J57" s="4"/>
      <c r="K57" s="4">
        <f t="shared" si="3"/>
        <v>0</v>
      </c>
    </row>
    <row r="58" spans="1:11" ht="15" customHeight="1" x14ac:dyDescent="0.3">
      <c r="A58" s="2" t="str">
        <f t="shared" si="2"/>
        <v>Monday</v>
      </c>
      <c r="B58" s="3">
        <v>46293</v>
      </c>
      <c r="C58" s="2"/>
      <c r="D58" s="2"/>
      <c r="E58" s="2"/>
      <c r="F58" s="2"/>
      <c r="G58" s="2"/>
      <c r="H58" s="2" t="b">
        <f>FALSE()</f>
        <v>0</v>
      </c>
      <c r="I58" s="2" t="b">
        <f>FALSE()</f>
        <v>0</v>
      </c>
      <c r="J58" s="2"/>
      <c r="K58" s="2">
        <f t="shared" si="3"/>
        <v>0</v>
      </c>
    </row>
    <row r="59" spans="1:11" ht="15" customHeight="1" x14ac:dyDescent="0.3">
      <c r="A59" s="4" t="str">
        <f t="shared" si="2"/>
        <v>Tuesday</v>
      </c>
      <c r="B59" s="5">
        <v>46294</v>
      </c>
      <c r="C59" s="4"/>
      <c r="D59" s="4"/>
      <c r="E59" s="4"/>
      <c r="F59" s="4"/>
      <c r="G59" s="4"/>
      <c r="H59" s="4" t="b">
        <f>FALSE()</f>
        <v>0</v>
      </c>
      <c r="I59" s="4" t="b">
        <f>FALSE()</f>
        <v>0</v>
      </c>
      <c r="J59" s="4"/>
      <c r="K59" s="4">
        <f t="shared" si="3"/>
        <v>0</v>
      </c>
    </row>
    <row r="60" spans="1:11" ht="15" customHeight="1" x14ac:dyDescent="0.3">
      <c r="A60" s="2" t="str">
        <f t="shared" si="2"/>
        <v>Wednesday</v>
      </c>
      <c r="B60" s="3">
        <v>46295</v>
      </c>
      <c r="C60" s="2"/>
      <c r="D60" s="2"/>
      <c r="E60" s="2"/>
      <c r="F60" s="2"/>
      <c r="G60" s="2"/>
      <c r="H60" s="2" t="b">
        <f>FALSE()</f>
        <v>0</v>
      </c>
      <c r="I60" s="2" t="b">
        <f>FALSE()</f>
        <v>0</v>
      </c>
      <c r="J60" s="2"/>
      <c r="K60" s="2">
        <f t="shared" si="3"/>
        <v>0</v>
      </c>
    </row>
    <row r="61" spans="1:11" ht="15" customHeight="1" x14ac:dyDescent="0.3">
      <c r="A61" s="4" t="str">
        <f t="shared" si="2"/>
        <v>Thursday</v>
      </c>
      <c r="B61" s="5">
        <v>46296</v>
      </c>
      <c r="C61" s="4"/>
      <c r="D61" s="4"/>
      <c r="E61" s="4"/>
      <c r="F61" s="4"/>
      <c r="G61" s="4"/>
      <c r="H61" s="4" t="b">
        <f>FALSE()</f>
        <v>0</v>
      </c>
      <c r="I61" s="4" t="b">
        <f>FALSE()</f>
        <v>0</v>
      </c>
      <c r="J61" s="4"/>
      <c r="K61" s="4">
        <f t="shared" si="3"/>
        <v>0</v>
      </c>
    </row>
    <row r="62" spans="1:11" ht="15" customHeight="1" x14ac:dyDescent="0.3">
      <c r="A62" s="2" t="str">
        <f t="shared" si="2"/>
        <v>Friday</v>
      </c>
      <c r="B62" s="3">
        <v>46297</v>
      </c>
      <c r="C62" s="2"/>
      <c r="D62" s="2"/>
      <c r="E62" s="2"/>
      <c r="F62" s="2"/>
      <c r="G62" s="2"/>
      <c r="H62" s="2" t="b">
        <f>FALSE()</f>
        <v>0</v>
      </c>
      <c r="I62" s="2" t="b">
        <f>FALSE()</f>
        <v>0</v>
      </c>
      <c r="J62" s="2"/>
      <c r="K62" s="2">
        <f t="shared" si="3"/>
        <v>0</v>
      </c>
    </row>
    <row r="63" spans="1:11" ht="15" customHeight="1" x14ac:dyDescent="0.3">
      <c r="A63" s="4" t="str">
        <f t="shared" si="2"/>
        <v>Saturday</v>
      </c>
      <c r="B63" s="5">
        <v>46298</v>
      </c>
      <c r="C63" s="4"/>
      <c r="D63" s="4"/>
      <c r="E63" s="4"/>
      <c r="F63" s="4"/>
      <c r="G63" s="4"/>
      <c r="H63" s="4" t="b">
        <f>FALSE()</f>
        <v>0</v>
      </c>
      <c r="I63" s="4" t="b">
        <f>FALSE()</f>
        <v>0</v>
      </c>
      <c r="J63" s="4"/>
      <c r="K63" s="4">
        <f t="shared" si="3"/>
        <v>0</v>
      </c>
    </row>
    <row r="64" spans="1:11" ht="15" customHeight="1" x14ac:dyDescent="0.3">
      <c r="A64" s="2" t="str">
        <f t="shared" si="2"/>
        <v>Sunday</v>
      </c>
      <c r="B64" s="3">
        <v>46299</v>
      </c>
      <c r="C64" s="2"/>
      <c r="D64" s="2"/>
      <c r="E64" s="2"/>
      <c r="F64" s="2"/>
      <c r="G64" s="2"/>
      <c r="H64" s="2" t="b">
        <f>FALSE()</f>
        <v>0</v>
      </c>
      <c r="I64" s="2" t="b">
        <f>FALSE()</f>
        <v>0</v>
      </c>
      <c r="J64" s="2"/>
      <c r="K64" s="2">
        <f t="shared" si="3"/>
        <v>0</v>
      </c>
    </row>
    <row r="65" spans="1:11" ht="15" customHeight="1" x14ac:dyDescent="0.3">
      <c r="A65" s="4" t="str">
        <f t="shared" si="2"/>
        <v>Monday</v>
      </c>
      <c r="B65" s="5">
        <v>46300</v>
      </c>
      <c r="C65" s="4"/>
      <c r="D65" s="4"/>
      <c r="E65" s="4"/>
      <c r="F65" s="4"/>
      <c r="G65" s="4"/>
      <c r="H65" s="4" t="b">
        <f>FALSE()</f>
        <v>0</v>
      </c>
      <c r="I65" s="4" t="b">
        <f>FALSE()</f>
        <v>0</v>
      </c>
      <c r="J65" s="4"/>
      <c r="K65" s="4">
        <f t="shared" si="3"/>
        <v>0</v>
      </c>
    </row>
    <row r="66" spans="1:11" ht="15" customHeight="1" x14ac:dyDescent="0.3">
      <c r="A66" s="2" t="str">
        <f t="shared" si="2"/>
        <v>Tuesday</v>
      </c>
      <c r="B66" s="3">
        <v>46301</v>
      </c>
      <c r="C66" s="2"/>
      <c r="D66" s="2"/>
      <c r="E66" s="2"/>
      <c r="F66" s="2"/>
      <c r="G66" s="2"/>
      <c r="H66" s="2" t="b">
        <f>FALSE()</f>
        <v>0</v>
      </c>
      <c r="I66" s="2" t="b">
        <f>FALSE()</f>
        <v>0</v>
      </c>
      <c r="J66" s="2"/>
      <c r="K66" s="2">
        <f t="shared" si="3"/>
        <v>0</v>
      </c>
    </row>
    <row r="67" spans="1:11" ht="15" customHeight="1" x14ac:dyDescent="0.3">
      <c r="A67" s="4" t="str">
        <f t="shared" si="2"/>
        <v>Wednesday</v>
      </c>
      <c r="B67" s="5">
        <v>46302</v>
      </c>
      <c r="C67" s="4"/>
      <c r="D67" s="4"/>
      <c r="E67" s="4"/>
      <c r="F67" s="4"/>
      <c r="G67" s="4"/>
      <c r="H67" s="4" t="b">
        <f>FALSE()</f>
        <v>0</v>
      </c>
      <c r="I67" s="4" t="b">
        <f>FALSE()</f>
        <v>0</v>
      </c>
      <c r="J67" s="4"/>
      <c r="K67" s="4">
        <f t="shared" si="3"/>
        <v>0</v>
      </c>
    </row>
    <row r="68" spans="1:11" ht="15" customHeight="1" x14ac:dyDescent="0.3">
      <c r="A68" s="2" t="str">
        <f t="shared" ref="A68:A99" si="4">IF(B68="","",TEXT(B68,"dddd"))</f>
        <v>Thursday</v>
      </c>
      <c r="B68" s="3">
        <v>46303</v>
      </c>
      <c r="C68" s="2"/>
      <c r="D68" s="2"/>
      <c r="E68" s="2"/>
      <c r="F68" s="2"/>
      <c r="G68" s="2"/>
      <c r="H68" s="2" t="b">
        <f>FALSE()</f>
        <v>0</v>
      </c>
      <c r="I68" s="2" t="b">
        <f>FALSE()</f>
        <v>0</v>
      </c>
      <c r="J68" s="2"/>
      <c r="K68" s="2">
        <f t="shared" si="3"/>
        <v>0</v>
      </c>
    </row>
    <row r="69" spans="1:11" ht="15" customHeight="1" x14ac:dyDescent="0.3">
      <c r="A69" s="4" t="str">
        <f t="shared" si="4"/>
        <v>Friday</v>
      </c>
      <c r="B69" s="5">
        <v>46304</v>
      </c>
      <c r="C69" s="4"/>
      <c r="D69" s="4"/>
      <c r="E69" s="4"/>
      <c r="F69" s="4"/>
      <c r="G69" s="4"/>
      <c r="H69" s="4" t="b">
        <f>FALSE()</f>
        <v>0</v>
      </c>
      <c r="I69" s="4" t="b">
        <f>FALSE()</f>
        <v>0</v>
      </c>
      <c r="J69" s="4"/>
      <c r="K69" s="4">
        <f t="shared" ref="K69:K100" si="5">IF(H69=TRUE(),K68+1,0)</f>
        <v>0</v>
      </c>
    </row>
    <row r="70" spans="1:11" ht="15" customHeight="1" x14ac:dyDescent="0.3">
      <c r="A70" s="2" t="str">
        <f t="shared" si="4"/>
        <v>Saturday</v>
      </c>
      <c r="B70" s="3">
        <v>46305</v>
      </c>
      <c r="C70" s="2"/>
      <c r="D70" s="2"/>
      <c r="E70" s="2"/>
      <c r="F70" s="2"/>
      <c r="G70" s="2"/>
      <c r="H70" s="2" t="b">
        <f>FALSE()</f>
        <v>0</v>
      </c>
      <c r="I70" s="2" t="b">
        <f>FALSE()</f>
        <v>0</v>
      </c>
      <c r="J70" s="2"/>
      <c r="K70" s="2">
        <f t="shared" si="5"/>
        <v>0</v>
      </c>
    </row>
    <row r="71" spans="1:11" ht="15" customHeight="1" x14ac:dyDescent="0.3">
      <c r="A71" s="4" t="str">
        <f t="shared" si="4"/>
        <v>Sunday</v>
      </c>
      <c r="B71" s="5">
        <v>46306</v>
      </c>
      <c r="C71" s="4"/>
      <c r="D71" s="4"/>
      <c r="E71" s="4"/>
      <c r="F71" s="4"/>
      <c r="G71" s="4"/>
      <c r="H71" s="4" t="b">
        <f>FALSE()</f>
        <v>0</v>
      </c>
      <c r="I71" s="4" t="b">
        <f>FALSE()</f>
        <v>0</v>
      </c>
      <c r="J71" s="4"/>
      <c r="K71" s="4">
        <f t="shared" si="5"/>
        <v>0</v>
      </c>
    </row>
    <row r="72" spans="1:11" ht="15" customHeight="1" x14ac:dyDescent="0.3">
      <c r="A72" s="2" t="str">
        <f t="shared" si="4"/>
        <v>Monday</v>
      </c>
      <c r="B72" s="3">
        <v>46307</v>
      </c>
      <c r="C72" s="2"/>
      <c r="D72" s="2"/>
      <c r="E72" s="2"/>
      <c r="F72" s="2"/>
      <c r="G72" s="2"/>
      <c r="H72" s="2" t="b">
        <f>FALSE()</f>
        <v>0</v>
      </c>
      <c r="I72" s="2" t="b">
        <f>FALSE()</f>
        <v>0</v>
      </c>
      <c r="J72" s="2"/>
      <c r="K72" s="2">
        <f t="shared" si="5"/>
        <v>0</v>
      </c>
    </row>
    <row r="73" spans="1:11" ht="15" customHeight="1" x14ac:dyDescent="0.3">
      <c r="A73" s="4" t="str">
        <f t="shared" si="4"/>
        <v>Tuesday</v>
      </c>
      <c r="B73" s="5">
        <v>46308</v>
      </c>
      <c r="C73" s="4"/>
      <c r="D73" s="4"/>
      <c r="E73" s="4"/>
      <c r="F73" s="4"/>
      <c r="G73" s="4"/>
      <c r="H73" s="4" t="b">
        <f>FALSE()</f>
        <v>0</v>
      </c>
      <c r="I73" s="4" t="b">
        <f>FALSE()</f>
        <v>0</v>
      </c>
      <c r="J73" s="4"/>
      <c r="K73" s="4">
        <f t="shared" si="5"/>
        <v>0</v>
      </c>
    </row>
    <row r="74" spans="1:11" ht="15" customHeight="1" x14ac:dyDescent="0.3">
      <c r="A74" s="2" t="str">
        <f t="shared" si="4"/>
        <v>Wednesday</v>
      </c>
      <c r="B74" s="3">
        <v>46309</v>
      </c>
      <c r="C74" s="2"/>
      <c r="D74" s="2"/>
      <c r="E74" s="2"/>
      <c r="F74" s="2"/>
      <c r="G74" s="2"/>
      <c r="H74" s="2" t="b">
        <f>FALSE()</f>
        <v>0</v>
      </c>
      <c r="I74" s="2" t="b">
        <f>FALSE()</f>
        <v>0</v>
      </c>
      <c r="J74" s="2"/>
      <c r="K74" s="2">
        <f t="shared" si="5"/>
        <v>0</v>
      </c>
    </row>
    <row r="75" spans="1:11" ht="15" customHeight="1" x14ac:dyDescent="0.3">
      <c r="A75" s="4" t="str">
        <f t="shared" si="4"/>
        <v>Thursday</v>
      </c>
      <c r="B75" s="5">
        <v>46310</v>
      </c>
      <c r="C75" s="4"/>
      <c r="D75" s="4"/>
      <c r="E75" s="4"/>
      <c r="F75" s="4"/>
      <c r="G75" s="4"/>
      <c r="H75" s="4" t="b">
        <f>FALSE()</f>
        <v>0</v>
      </c>
      <c r="I75" s="4" t="b">
        <f>FALSE()</f>
        <v>0</v>
      </c>
      <c r="J75" s="4"/>
      <c r="K75" s="4">
        <f t="shared" si="5"/>
        <v>0</v>
      </c>
    </row>
    <row r="76" spans="1:11" ht="15" customHeight="1" x14ac:dyDescent="0.3">
      <c r="A76" s="2" t="str">
        <f t="shared" si="4"/>
        <v>Friday</v>
      </c>
      <c r="B76" s="3">
        <v>46311</v>
      </c>
      <c r="C76" s="2"/>
      <c r="D76" s="2"/>
      <c r="E76" s="2"/>
      <c r="F76" s="2"/>
      <c r="G76" s="2"/>
      <c r="H76" s="2" t="b">
        <f>FALSE()</f>
        <v>0</v>
      </c>
      <c r="I76" s="2" t="b">
        <f>FALSE()</f>
        <v>0</v>
      </c>
      <c r="J76" s="2"/>
      <c r="K76" s="2">
        <f t="shared" si="5"/>
        <v>0</v>
      </c>
    </row>
    <row r="77" spans="1:11" ht="15" customHeight="1" x14ac:dyDescent="0.3">
      <c r="A77" s="4" t="str">
        <f t="shared" si="4"/>
        <v>Saturday</v>
      </c>
      <c r="B77" s="5">
        <v>46312</v>
      </c>
      <c r="C77" s="4"/>
      <c r="D77" s="4"/>
      <c r="E77" s="4"/>
      <c r="F77" s="4"/>
      <c r="G77" s="4"/>
      <c r="H77" s="4" t="b">
        <f>FALSE()</f>
        <v>0</v>
      </c>
      <c r="I77" s="4" t="b">
        <f>FALSE()</f>
        <v>0</v>
      </c>
      <c r="J77" s="4"/>
      <c r="K77" s="4">
        <f t="shared" si="5"/>
        <v>0</v>
      </c>
    </row>
    <row r="78" spans="1:11" ht="15" customHeight="1" x14ac:dyDescent="0.3">
      <c r="A78" s="2" t="str">
        <f t="shared" si="4"/>
        <v>Sunday</v>
      </c>
      <c r="B78" s="3">
        <v>46313</v>
      </c>
      <c r="C78" s="2"/>
      <c r="D78" s="2"/>
      <c r="E78" s="2"/>
      <c r="F78" s="2"/>
      <c r="G78" s="2"/>
      <c r="H78" s="2" t="b">
        <f>FALSE()</f>
        <v>0</v>
      </c>
      <c r="I78" s="2" t="b">
        <f>FALSE()</f>
        <v>0</v>
      </c>
      <c r="J78" s="2"/>
      <c r="K78" s="2">
        <f t="shared" si="5"/>
        <v>0</v>
      </c>
    </row>
    <row r="79" spans="1:11" ht="15" customHeight="1" x14ac:dyDescent="0.3">
      <c r="A79" s="4" t="str">
        <f t="shared" si="4"/>
        <v>Monday</v>
      </c>
      <c r="B79" s="5">
        <v>46314</v>
      </c>
      <c r="C79" s="4"/>
      <c r="D79" s="4"/>
      <c r="E79" s="4"/>
      <c r="F79" s="4"/>
      <c r="G79" s="4"/>
      <c r="H79" s="4" t="b">
        <f>FALSE()</f>
        <v>0</v>
      </c>
      <c r="I79" s="4" t="b">
        <f>FALSE()</f>
        <v>0</v>
      </c>
      <c r="J79" s="4"/>
      <c r="K79" s="4">
        <f t="shared" si="5"/>
        <v>0</v>
      </c>
    </row>
    <row r="80" spans="1:11" ht="15" customHeight="1" x14ac:dyDescent="0.3">
      <c r="A80" s="2" t="str">
        <f t="shared" si="4"/>
        <v>Tuesday</v>
      </c>
      <c r="B80" s="3">
        <v>46315</v>
      </c>
      <c r="C80" s="2"/>
      <c r="D80" s="2"/>
      <c r="E80" s="2"/>
      <c r="F80" s="2"/>
      <c r="G80" s="2"/>
      <c r="H80" s="2" t="b">
        <f>FALSE()</f>
        <v>0</v>
      </c>
      <c r="I80" s="2" t="b">
        <f>FALSE()</f>
        <v>0</v>
      </c>
      <c r="J80" s="2"/>
      <c r="K80" s="2">
        <f t="shared" si="5"/>
        <v>0</v>
      </c>
    </row>
    <row r="81" spans="1:11" ht="15" customHeight="1" x14ac:dyDescent="0.3">
      <c r="A81" s="4" t="str">
        <f t="shared" si="4"/>
        <v>Wednesday</v>
      </c>
      <c r="B81" s="5">
        <v>46316</v>
      </c>
      <c r="C81" s="4"/>
      <c r="D81" s="4"/>
      <c r="E81" s="4"/>
      <c r="F81" s="4"/>
      <c r="G81" s="4"/>
      <c r="H81" s="4" t="b">
        <f>FALSE()</f>
        <v>0</v>
      </c>
      <c r="I81" s="4" t="b">
        <f>FALSE()</f>
        <v>0</v>
      </c>
      <c r="J81" s="4"/>
      <c r="K81" s="4">
        <f t="shared" si="5"/>
        <v>0</v>
      </c>
    </row>
    <row r="82" spans="1:11" ht="15" customHeight="1" x14ac:dyDescent="0.3">
      <c r="A82" s="2" t="str">
        <f t="shared" si="4"/>
        <v>Thursday</v>
      </c>
      <c r="B82" s="3">
        <v>46317</v>
      </c>
      <c r="C82" s="2"/>
      <c r="D82" s="2"/>
      <c r="E82" s="2"/>
      <c r="F82" s="2"/>
      <c r="G82" s="2"/>
      <c r="H82" s="2" t="b">
        <f>FALSE()</f>
        <v>0</v>
      </c>
      <c r="I82" s="2" t="b">
        <f>FALSE()</f>
        <v>0</v>
      </c>
      <c r="J82" s="2"/>
      <c r="K82" s="2">
        <f t="shared" si="5"/>
        <v>0</v>
      </c>
    </row>
    <row r="83" spans="1:11" ht="15" customHeight="1" x14ac:dyDescent="0.3">
      <c r="A83" s="4" t="str">
        <f t="shared" si="4"/>
        <v>Friday</v>
      </c>
      <c r="B83" s="5">
        <v>46318</v>
      </c>
      <c r="C83" s="4"/>
      <c r="D83" s="4"/>
      <c r="E83" s="4"/>
      <c r="F83" s="4"/>
      <c r="G83" s="4"/>
      <c r="H83" s="4" t="b">
        <f>FALSE()</f>
        <v>0</v>
      </c>
      <c r="I83" s="4" t="b">
        <f>FALSE()</f>
        <v>0</v>
      </c>
      <c r="J83" s="4"/>
      <c r="K83" s="4">
        <f t="shared" si="5"/>
        <v>0</v>
      </c>
    </row>
    <row r="84" spans="1:11" ht="15" customHeight="1" x14ac:dyDescent="0.3">
      <c r="A84" s="2" t="str">
        <f t="shared" si="4"/>
        <v>Saturday</v>
      </c>
      <c r="B84" s="3">
        <v>46319</v>
      </c>
      <c r="C84" s="2"/>
      <c r="D84" s="2"/>
      <c r="E84" s="2"/>
      <c r="F84" s="2"/>
      <c r="G84" s="2"/>
      <c r="H84" s="2" t="b">
        <f>FALSE()</f>
        <v>0</v>
      </c>
      <c r="I84" s="2" t="b">
        <f>FALSE()</f>
        <v>0</v>
      </c>
      <c r="J84" s="2"/>
      <c r="K84" s="2">
        <f t="shared" si="5"/>
        <v>0</v>
      </c>
    </row>
    <row r="85" spans="1:11" ht="15" customHeight="1" x14ac:dyDescent="0.3">
      <c r="A85" s="4" t="str">
        <f t="shared" si="4"/>
        <v>Sunday</v>
      </c>
      <c r="B85" s="5">
        <v>46320</v>
      </c>
      <c r="C85" s="4"/>
      <c r="D85" s="4"/>
      <c r="E85" s="4"/>
      <c r="F85" s="4"/>
      <c r="G85" s="4"/>
      <c r="H85" s="4" t="b">
        <f>FALSE()</f>
        <v>0</v>
      </c>
      <c r="I85" s="4" t="b">
        <f>FALSE()</f>
        <v>0</v>
      </c>
      <c r="J85" s="4"/>
      <c r="K85" s="4">
        <f t="shared" si="5"/>
        <v>0</v>
      </c>
    </row>
    <row r="86" spans="1:11" ht="15" customHeight="1" x14ac:dyDescent="0.3">
      <c r="A86" s="2" t="str">
        <f t="shared" si="4"/>
        <v>Monday</v>
      </c>
      <c r="B86" s="3">
        <v>46321</v>
      </c>
      <c r="C86" s="2"/>
      <c r="D86" s="2"/>
      <c r="E86" s="2"/>
      <c r="F86" s="2"/>
      <c r="G86" s="2"/>
      <c r="H86" s="2" t="b">
        <f>FALSE()</f>
        <v>0</v>
      </c>
      <c r="I86" s="2" t="b">
        <f>FALSE()</f>
        <v>0</v>
      </c>
      <c r="J86" s="2"/>
      <c r="K86" s="2">
        <f t="shared" si="5"/>
        <v>0</v>
      </c>
    </row>
    <row r="87" spans="1:11" ht="15" customHeight="1" x14ac:dyDescent="0.3">
      <c r="A87" s="4" t="str">
        <f t="shared" si="4"/>
        <v>Tuesday</v>
      </c>
      <c r="B87" s="5">
        <v>46322</v>
      </c>
      <c r="C87" s="4"/>
      <c r="D87" s="4"/>
      <c r="E87" s="4"/>
      <c r="F87" s="4"/>
      <c r="G87" s="4"/>
      <c r="H87" s="4" t="b">
        <f>FALSE()</f>
        <v>0</v>
      </c>
      <c r="I87" s="4" t="b">
        <f>FALSE()</f>
        <v>0</v>
      </c>
      <c r="J87" s="4"/>
      <c r="K87" s="4">
        <f t="shared" si="5"/>
        <v>0</v>
      </c>
    </row>
    <row r="88" spans="1:11" ht="15" customHeight="1" x14ac:dyDescent="0.3">
      <c r="A88" s="2" t="str">
        <f t="shared" si="4"/>
        <v>Wednesday</v>
      </c>
      <c r="B88" s="3">
        <v>46323</v>
      </c>
      <c r="C88" s="2"/>
      <c r="D88" s="2"/>
      <c r="E88" s="2"/>
      <c r="F88" s="2"/>
      <c r="G88" s="2"/>
      <c r="H88" s="2" t="b">
        <f>FALSE()</f>
        <v>0</v>
      </c>
      <c r="I88" s="2" t="b">
        <f>FALSE()</f>
        <v>0</v>
      </c>
      <c r="J88" s="2"/>
      <c r="K88" s="2">
        <f t="shared" si="5"/>
        <v>0</v>
      </c>
    </row>
    <row r="89" spans="1:11" ht="15" customHeight="1" x14ac:dyDescent="0.3">
      <c r="A89" s="4" t="str">
        <f t="shared" si="4"/>
        <v>Thursday</v>
      </c>
      <c r="B89" s="5">
        <v>46324</v>
      </c>
      <c r="C89" s="4"/>
      <c r="D89" s="4"/>
      <c r="E89" s="4"/>
      <c r="F89" s="4"/>
      <c r="G89" s="4"/>
      <c r="H89" s="4" t="b">
        <f>FALSE()</f>
        <v>0</v>
      </c>
      <c r="I89" s="4" t="b">
        <f>FALSE()</f>
        <v>0</v>
      </c>
      <c r="J89" s="4"/>
      <c r="K89" s="4">
        <f t="shared" si="5"/>
        <v>0</v>
      </c>
    </row>
    <row r="90" spans="1:11" ht="15" customHeight="1" x14ac:dyDescent="0.3">
      <c r="A90" s="2" t="str">
        <f t="shared" si="4"/>
        <v>Friday</v>
      </c>
      <c r="B90" s="3">
        <v>46325</v>
      </c>
      <c r="C90" s="2"/>
      <c r="D90" s="2"/>
      <c r="E90" s="2"/>
      <c r="F90" s="2"/>
      <c r="G90" s="2"/>
      <c r="H90" s="2" t="b">
        <f>FALSE()</f>
        <v>0</v>
      </c>
      <c r="I90" s="2" t="b">
        <f>FALSE()</f>
        <v>0</v>
      </c>
      <c r="J90" s="2"/>
      <c r="K90" s="2">
        <f t="shared" si="5"/>
        <v>0</v>
      </c>
    </row>
    <row r="91" spans="1:11" ht="15" customHeight="1" x14ac:dyDescent="0.3">
      <c r="A91" s="4" t="str">
        <f t="shared" si="4"/>
        <v>Saturday</v>
      </c>
      <c r="B91" s="5">
        <v>46326</v>
      </c>
      <c r="C91" s="4"/>
      <c r="D91" s="4"/>
      <c r="E91" s="4"/>
      <c r="F91" s="4"/>
      <c r="G91" s="4"/>
      <c r="H91" s="4" t="b">
        <f>FALSE()</f>
        <v>0</v>
      </c>
      <c r="I91" s="4" t="b">
        <f>FALSE()</f>
        <v>0</v>
      </c>
      <c r="J91" s="4"/>
      <c r="K91" s="4">
        <f t="shared" si="5"/>
        <v>0</v>
      </c>
    </row>
    <row r="92" spans="1:11" ht="15" customHeight="1" x14ac:dyDescent="0.3">
      <c r="A92" s="2" t="str">
        <f t="shared" si="4"/>
        <v>Sunday</v>
      </c>
      <c r="B92" s="3">
        <v>46327</v>
      </c>
      <c r="C92" s="2"/>
      <c r="D92" s="2"/>
      <c r="E92" s="2"/>
      <c r="F92" s="2"/>
      <c r="G92" s="2"/>
      <c r="H92" s="2" t="b">
        <f>FALSE()</f>
        <v>0</v>
      </c>
      <c r="I92" s="2" t="b">
        <f>FALSE()</f>
        <v>0</v>
      </c>
      <c r="J92" s="2"/>
      <c r="K92" s="2">
        <f t="shared" si="5"/>
        <v>0</v>
      </c>
    </row>
    <row r="93" spans="1:11" ht="15" customHeight="1" x14ac:dyDescent="0.3">
      <c r="A93" s="4" t="str">
        <f t="shared" si="4"/>
        <v>Monday</v>
      </c>
      <c r="B93" s="5">
        <v>46328</v>
      </c>
      <c r="C93" s="4"/>
      <c r="D93" s="4"/>
      <c r="E93" s="4"/>
      <c r="F93" s="4"/>
      <c r="G93" s="4"/>
      <c r="H93" s="4" t="b">
        <f>FALSE()</f>
        <v>0</v>
      </c>
      <c r="I93" s="4" t="b">
        <f>FALSE()</f>
        <v>0</v>
      </c>
      <c r="J93" s="4"/>
      <c r="K93" s="4">
        <f t="shared" si="5"/>
        <v>0</v>
      </c>
    </row>
    <row r="94" spans="1:11" ht="15" customHeight="1" x14ac:dyDescent="0.3">
      <c r="A94" s="2" t="str">
        <f t="shared" si="4"/>
        <v>Tuesday</v>
      </c>
      <c r="B94" s="3">
        <v>46329</v>
      </c>
      <c r="C94" s="2"/>
      <c r="D94" s="2"/>
      <c r="E94" s="2"/>
      <c r="F94" s="2"/>
      <c r="G94" s="2"/>
      <c r="H94" s="2" t="b">
        <f>FALSE()</f>
        <v>0</v>
      </c>
      <c r="I94" s="2" t="b">
        <f>FALSE()</f>
        <v>0</v>
      </c>
      <c r="J94" s="2"/>
      <c r="K94" s="2">
        <f t="shared" si="5"/>
        <v>0</v>
      </c>
    </row>
    <row r="95" spans="1:11" ht="15" customHeight="1" x14ac:dyDescent="0.3">
      <c r="A95" s="4" t="str">
        <f t="shared" si="4"/>
        <v>Wednesday</v>
      </c>
      <c r="B95" s="5">
        <v>46330</v>
      </c>
      <c r="C95" s="4"/>
      <c r="D95" s="4"/>
      <c r="E95" s="4"/>
      <c r="F95" s="4"/>
      <c r="G95" s="4"/>
      <c r="H95" s="4" t="b">
        <f>FALSE()</f>
        <v>0</v>
      </c>
      <c r="I95" s="4" t="b">
        <f>FALSE()</f>
        <v>0</v>
      </c>
      <c r="J95" s="4"/>
      <c r="K95" s="4">
        <f t="shared" si="5"/>
        <v>0</v>
      </c>
    </row>
    <row r="96" spans="1:11" ht="15" customHeight="1" x14ac:dyDescent="0.3">
      <c r="A96" s="2" t="str">
        <f t="shared" si="4"/>
        <v>Thursday</v>
      </c>
      <c r="B96" s="3">
        <v>46331</v>
      </c>
      <c r="C96" s="2"/>
      <c r="D96" s="2"/>
      <c r="E96" s="2"/>
      <c r="F96" s="2"/>
      <c r="G96" s="2"/>
      <c r="H96" s="2" t="b">
        <f>FALSE()</f>
        <v>0</v>
      </c>
      <c r="I96" s="2" t="b">
        <f>FALSE()</f>
        <v>0</v>
      </c>
      <c r="J96" s="2"/>
      <c r="K96" s="2">
        <f t="shared" si="5"/>
        <v>0</v>
      </c>
    </row>
    <row r="97" spans="1:11" ht="15" customHeight="1" x14ac:dyDescent="0.3">
      <c r="A97" s="4" t="str">
        <f t="shared" si="4"/>
        <v>Friday</v>
      </c>
      <c r="B97" s="5">
        <v>46332</v>
      </c>
      <c r="C97" s="4"/>
      <c r="D97" s="4"/>
      <c r="E97" s="4"/>
      <c r="F97" s="4"/>
      <c r="G97" s="4"/>
      <c r="H97" s="4" t="b">
        <f>FALSE()</f>
        <v>0</v>
      </c>
      <c r="I97" s="4" t="b">
        <f>FALSE()</f>
        <v>0</v>
      </c>
      <c r="J97" s="4"/>
      <c r="K97" s="4">
        <f t="shared" si="5"/>
        <v>0</v>
      </c>
    </row>
    <row r="98" spans="1:11" ht="15" customHeight="1" x14ac:dyDescent="0.3">
      <c r="A98" s="2" t="str">
        <f t="shared" si="4"/>
        <v>Saturday</v>
      </c>
      <c r="B98" s="3">
        <v>46333</v>
      </c>
      <c r="C98" s="2"/>
      <c r="D98" s="2"/>
      <c r="E98" s="2"/>
      <c r="F98" s="2"/>
      <c r="G98" s="2"/>
      <c r="H98" s="2" t="b">
        <f>FALSE()</f>
        <v>0</v>
      </c>
      <c r="I98" s="2" t="b">
        <f>FALSE()</f>
        <v>0</v>
      </c>
      <c r="J98" s="2"/>
      <c r="K98" s="2">
        <f t="shared" si="5"/>
        <v>0</v>
      </c>
    </row>
    <row r="99" spans="1:11" ht="15" customHeight="1" x14ac:dyDescent="0.3">
      <c r="A99" s="4" t="str">
        <f t="shared" si="4"/>
        <v>Sunday</v>
      </c>
      <c r="B99" s="5">
        <v>46334</v>
      </c>
      <c r="C99" s="4"/>
      <c r="D99" s="4"/>
      <c r="E99" s="4"/>
      <c r="F99" s="4"/>
      <c r="G99" s="4"/>
      <c r="H99" s="4" t="b">
        <f>FALSE()</f>
        <v>0</v>
      </c>
      <c r="I99" s="4" t="b">
        <f>FALSE()</f>
        <v>0</v>
      </c>
      <c r="J99" s="4"/>
      <c r="K99" s="4">
        <f t="shared" si="5"/>
        <v>0</v>
      </c>
    </row>
    <row r="100" spans="1:11" ht="15" customHeight="1" x14ac:dyDescent="0.3">
      <c r="A100" s="2" t="str">
        <f t="shared" ref="A100:A123" si="6">IF(B100="","",TEXT(B100,"dddd"))</f>
        <v>Monday</v>
      </c>
      <c r="B100" s="3">
        <v>46335</v>
      </c>
      <c r="C100" s="2"/>
      <c r="D100" s="2"/>
      <c r="E100" s="2"/>
      <c r="F100" s="2"/>
      <c r="G100" s="2"/>
      <c r="H100" s="2" t="b">
        <f>FALSE()</f>
        <v>0</v>
      </c>
      <c r="I100" s="2" t="b">
        <f>FALSE()</f>
        <v>0</v>
      </c>
      <c r="J100" s="2"/>
      <c r="K100" s="2">
        <f t="shared" si="5"/>
        <v>0</v>
      </c>
    </row>
    <row r="101" spans="1:11" ht="15" customHeight="1" x14ac:dyDescent="0.3">
      <c r="A101" s="4" t="str">
        <f t="shared" si="6"/>
        <v>Tuesday</v>
      </c>
      <c r="B101" s="5">
        <v>46336</v>
      </c>
      <c r="C101" s="4"/>
      <c r="D101" s="4"/>
      <c r="E101" s="4"/>
      <c r="F101" s="4"/>
      <c r="G101" s="4"/>
      <c r="H101" s="4" t="b">
        <f>FALSE()</f>
        <v>0</v>
      </c>
      <c r="I101" s="4" t="b">
        <f>FALSE()</f>
        <v>0</v>
      </c>
      <c r="J101" s="4"/>
      <c r="K101" s="4">
        <f t="shared" ref="K101:K123" si="7">IF(H101=TRUE(),K100+1,0)</f>
        <v>0</v>
      </c>
    </row>
    <row r="102" spans="1:11" ht="15" customHeight="1" x14ac:dyDescent="0.3">
      <c r="A102" s="2" t="str">
        <f t="shared" si="6"/>
        <v>Wednesday</v>
      </c>
      <c r="B102" s="3">
        <v>46337</v>
      </c>
      <c r="C102" s="2"/>
      <c r="D102" s="2"/>
      <c r="E102" s="2"/>
      <c r="F102" s="2"/>
      <c r="G102" s="2"/>
      <c r="H102" s="2" t="b">
        <f>FALSE()</f>
        <v>0</v>
      </c>
      <c r="I102" s="2" t="b">
        <f>FALSE()</f>
        <v>0</v>
      </c>
      <c r="J102" s="2"/>
      <c r="K102" s="2">
        <f t="shared" si="7"/>
        <v>0</v>
      </c>
    </row>
    <row r="103" spans="1:11" ht="15" customHeight="1" x14ac:dyDescent="0.3">
      <c r="A103" s="4" t="str">
        <f t="shared" si="6"/>
        <v>Thursday</v>
      </c>
      <c r="B103" s="5">
        <v>46338</v>
      </c>
      <c r="C103" s="4"/>
      <c r="D103" s="4"/>
      <c r="E103" s="4"/>
      <c r="F103" s="4"/>
      <c r="G103" s="4"/>
      <c r="H103" s="4" t="b">
        <f>FALSE()</f>
        <v>0</v>
      </c>
      <c r="I103" s="4" t="b">
        <f>FALSE()</f>
        <v>0</v>
      </c>
      <c r="J103" s="4"/>
      <c r="K103" s="4">
        <f t="shared" si="7"/>
        <v>0</v>
      </c>
    </row>
    <row r="104" spans="1:11" ht="15" customHeight="1" x14ac:dyDescent="0.3">
      <c r="A104" s="2" t="str">
        <f t="shared" si="6"/>
        <v>Friday</v>
      </c>
      <c r="B104" s="3">
        <v>46339</v>
      </c>
      <c r="C104" s="2"/>
      <c r="D104" s="2"/>
      <c r="E104" s="2"/>
      <c r="F104" s="2"/>
      <c r="G104" s="2"/>
      <c r="H104" s="2" t="b">
        <f>FALSE()</f>
        <v>0</v>
      </c>
      <c r="I104" s="2" t="b">
        <f>FALSE()</f>
        <v>0</v>
      </c>
      <c r="J104" s="2"/>
      <c r="K104" s="2">
        <f t="shared" si="7"/>
        <v>0</v>
      </c>
    </row>
    <row r="105" spans="1:11" ht="15" customHeight="1" x14ac:dyDescent="0.3">
      <c r="A105" s="4" t="str">
        <f t="shared" si="6"/>
        <v>Saturday</v>
      </c>
      <c r="B105" s="5">
        <v>46340</v>
      </c>
      <c r="C105" s="4"/>
      <c r="D105" s="4"/>
      <c r="E105" s="4"/>
      <c r="F105" s="4"/>
      <c r="G105" s="4"/>
      <c r="H105" s="4" t="b">
        <f>FALSE()</f>
        <v>0</v>
      </c>
      <c r="I105" s="4" t="b">
        <f>FALSE()</f>
        <v>0</v>
      </c>
      <c r="J105" s="4"/>
      <c r="K105" s="4">
        <f t="shared" si="7"/>
        <v>0</v>
      </c>
    </row>
    <row r="106" spans="1:11" ht="15" customHeight="1" x14ac:dyDescent="0.3">
      <c r="A106" s="2" t="str">
        <f t="shared" si="6"/>
        <v>Sunday</v>
      </c>
      <c r="B106" s="3">
        <v>46341</v>
      </c>
      <c r="C106" s="2"/>
      <c r="D106" s="2"/>
      <c r="E106" s="2"/>
      <c r="F106" s="2"/>
      <c r="G106" s="2"/>
      <c r="H106" s="2" t="b">
        <f>FALSE()</f>
        <v>0</v>
      </c>
      <c r="I106" s="2" t="b">
        <f>FALSE()</f>
        <v>0</v>
      </c>
      <c r="J106" s="2"/>
      <c r="K106" s="2">
        <f t="shared" si="7"/>
        <v>0</v>
      </c>
    </row>
    <row r="107" spans="1:11" ht="15" customHeight="1" x14ac:dyDescent="0.3">
      <c r="A107" s="4" t="str">
        <f t="shared" si="6"/>
        <v>Monday</v>
      </c>
      <c r="B107" s="5">
        <v>46342</v>
      </c>
      <c r="C107" s="4"/>
      <c r="D107" s="4"/>
      <c r="E107" s="4"/>
      <c r="F107" s="4"/>
      <c r="G107" s="4"/>
      <c r="H107" s="4" t="b">
        <f>FALSE()</f>
        <v>0</v>
      </c>
      <c r="I107" s="4" t="b">
        <f>FALSE()</f>
        <v>0</v>
      </c>
      <c r="J107" s="4"/>
      <c r="K107" s="4">
        <f t="shared" si="7"/>
        <v>0</v>
      </c>
    </row>
    <row r="108" spans="1:11" ht="15" customHeight="1" x14ac:dyDescent="0.3">
      <c r="A108" s="2" t="str">
        <f t="shared" si="6"/>
        <v>Tuesday</v>
      </c>
      <c r="B108" s="3">
        <v>46343</v>
      </c>
      <c r="C108" s="2"/>
      <c r="D108" s="2"/>
      <c r="E108" s="2"/>
      <c r="F108" s="2"/>
      <c r="G108" s="2"/>
      <c r="H108" s="2" t="b">
        <f>FALSE()</f>
        <v>0</v>
      </c>
      <c r="I108" s="2" t="b">
        <f>FALSE()</f>
        <v>0</v>
      </c>
      <c r="J108" s="2"/>
      <c r="K108" s="2">
        <f t="shared" si="7"/>
        <v>0</v>
      </c>
    </row>
    <row r="109" spans="1:11" ht="15" customHeight="1" x14ac:dyDescent="0.3">
      <c r="A109" s="4" t="str">
        <f t="shared" si="6"/>
        <v>Wednesday</v>
      </c>
      <c r="B109" s="5">
        <v>46344</v>
      </c>
      <c r="C109" s="4"/>
      <c r="D109" s="4"/>
      <c r="E109" s="4"/>
      <c r="F109" s="4"/>
      <c r="G109" s="4"/>
      <c r="H109" s="4" t="b">
        <f>FALSE()</f>
        <v>0</v>
      </c>
      <c r="I109" s="4" t="b">
        <f>FALSE()</f>
        <v>0</v>
      </c>
      <c r="J109" s="4"/>
      <c r="K109" s="4">
        <f t="shared" si="7"/>
        <v>0</v>
      </c>
    </row>
    <row r="110" spans="1:11" ht="15" customHeight="1" x14ac:dyDescent="0.3">
      <c r="A110" s="2" t="str">
        <f t="shared" si="6"/>
        <v>Thursday</v>
      </c>
      <c r="B110" s="3">
        <v>46345</v>
      </c>
      <c r="C110" s="2"/>
      <c r="D110" s="2"/>
      <c r="E110" s="2"/>
      <c r="F110" s="2"/>
      <c r="G110" s="2"/>
      <c r="H110" s="2" t="b">
        <f>FALSE()</f>
        <v>0</v>
      </c>
      <c r="I110" s="2" t="b">
        <f>FALSE()</f>
        <v>0</v>
      </c>
      <c r="J110" s="2"/>
      <c r="K110" s="2">
        <f t="shared" si="7"/>
        <v>0</v>
      </c>
    </row>
    <row r="111" spans="1:11" ht="15" customHeight="1" x14ac:dyDescent="0.3">
      <c r="A111" s="4" t="str">
        <f t="shared" si="6"/>
        <v>Friday</v>
      </c>
      <c r="B111" s="5">
        <v>46346</v>
      </c>
      <c r="C111" s="4"/>
      <c r="D111" s="4"/>
      <c r="E111" s="4"/>
      <c r="F111" s="4"/>
      <c r="G111" s="4"/>
      <c r="H111" s="4" t="b">
        <f>FALSE()</f>
        <v>0</v>
      </c>
      <c r="I111" s="4" t="b">
        <f>FALSE()</f>
        <v>0</v>
      </c>
      <c r="J111" s="4"/>
      <c r="K111" s="4">
        <f t="shared" si="7"/>
        <v>0</v>
      </c>
    </row>
    <row r="112" spans="1:11" ht="15" customHeight="1" x14ac:dyDescent="0.3">
      <c r="A112" s="2" t="str">
        <f t="shared" si="6"/>
        <v>Saturday</v>
      </c>
      <c r="B112" s="3">
        <v>46347</v>
      </c>
      <c r="C112" s="2"/>
      <c r="D112" s="2"/>
      <c r="E112" s="2"/>
      <c r="F112" s="2"/>
      <c r="G112" s="2"/>
      <c r="H112" s="2" t="b">
        <f>FALSE()</f>
        <v>0</v>
      </c>
      <c r="I112" s="2" t="b">
        <f>FALSE()</f>
        <v>0</v>
      </c>
      <c r="J112" s="2"/>
      <c r="K112" s="2">
        <f t="shared" si="7"/>
        <v>0</v>
      </c>
    </row>
    <row r="113" spans="1:11" ht="15" customHeight="1" x14ac:dyDescent="0.3">
      <c r="A113" s="4" t="str">
        <f t="shared" si="6"/>
        <v>Sunday</v>
      </c>
      <c r="B113" s="5">
        <v>46348</v>
      </c>
      <c r="C113" s="4"/>
      <c r="D113" s="4"/>
      <c r="E113" s="4"/>
      <c r="F113" s="4"/>
      <c r="G113" s="4"/>
      <c r="H113" s="4" t="b">
        <f>FALSE()</f>
        <v>0</v>
      </c>
      <c r="I113" s="4" t="b">
        <f>FALSE()</f>
        <v>0</v>
      </c>
      <c r="J113" s="4"/>
      <c r="K113" s="4">
        <f t="shared" si="7"/>
        <v>0</v>
      </c>
    </row>
    <row r="114" spans="1:11" ht="15" customHeight="1" x14ac:dyDescent="0.3">
      <c r="A114" s="2" t="str">
        <f t="shared" si="6"/>
        <v>Monday</v>
      </c>
      <c r="B114" s="3">
        <v>46349</v>
      </c>
      <c r="C114" s="2"/>
      <c r="D114" s="2"/>
      <c r="E114" s="2"/>
      <c r="F114" s="2"/>
      <c r="G114" s="2"/>
      <c r="H114" s="2" t="b">
        <f>FALSE()</f>
        <v>0</v>
      </c>
      <c r="I114" s="2" t="b">
        <f>FALSE()</f>
        <v>0</v>
      </c>
      <c r="J114" s="2"/>
      <c r="K114" s="2">
        <f t="shared" si="7"/>
        <v>0</v>
      </c>
    </row>
    <row r="115" spans="1:11" ht="15" customHeight="1" x14ac:dyDescent="0.3">
      <c r="A115" s="4" t="str">
        <f t="shared" si="6"/>
        <v>Tuesday</v>
      </c>
      <c r="B115" s="5">
        <v>46350</v>
      </c>
      <c r="C115" s="4"/>
      <c r="D115" s="4"/>
      <c r="E115" s="4"/>
      <c r="F115" s="4"/>
      <c r="G115" s="4"/>
      <c r="H115" s="4" t="b">
        <f>FALSE()</f>
        <v>0</v>
      </c>
      <c r="I115" s="4" t="b">
        <f>FALSE()</f>
        <v>0</v>
      </c>
      <c r="J115" s="4"/>
      <c r="K115" s="4">
        <f t="shared" si="7"/>
        <v>0</v>
      </c>
    </row>
    <row r="116" spans="1:11" ht="15" customHeight="1" x14ac:dyDescent="0.3">
      <c r="A116" s="2" t="str">
        <f t="shared" si="6"/>
        <v>Wednesday</v>
      </c>
      <c r="B116" s="3">
        <v>46351</v>
      </c>
      <c r="C116" s="2"/>
      <c r="D116" s="2"/>
      <c r="E116" s="2"/>
      <c r="F116" s="2"/>
      <c r="G116" s="2"/>
      <c r="H116" s="2" t="b">
        <f>FALSE()</f>
        <v>0</v>
      </c>
      <c r="I116" s="2" t="b">
        <f>FALSE()</f>
        <v>0</v>
      </c>
      <c r="J116" s="2"/>
      <c r="K116" s="2">
        <f t="shared" si="7"/>
        <v>0</v>
      </c>
    </row>
    <row r="117" spans="1:11" ht="15" customHeight="1" x14ac:dyDescent="0.3">
      <c r="A117" s="4" t="str">
        <f t="shared" si="6"/>
        <v>Thursday</v>
      </c>
      <c r="B117" s="5">
        <v>46352</v>
      </c>
      <c r="C117" s="4"/>
      <c r="D117" s="4"/>
      <c r="E117" s="4"/>
      <c r="F117" s="4"/>
      <c r="G117" s="4"/>
      <c r="H117" s="4" t="b">
        <f>FALSE()</f>
        <v>0</v>
      </c>
      <c r="I117" s="4" t="b">
        <f>FALSE()</f>
        <v>0</v>
      </c>
      <c r="J117" s="4"/>
      <c r="K117" s="4">
        <f t="shared" si="7"/>
        <v>0</v>
      </c>
    </row>
    <row r="118" spans="1:11" ht="15" customHeight="1" x14ac:dyDescent="0.3">
      <c r="A118" s="2" t="str">
        <f t="shared" si="6"/>
        <v>Friday</v>
      </c>
      <c r="B118" s="3">
        <v>46353</v>
      </c>
      <c r="C118" s="2"/>
      <c r="D118" s="2"/>
      <c r="E118" s="2"/>
      <c r="F118" s="2"/>
      <c r="G118" s="2"/>
      <c r="H118" s="2" t="b">
        <f>FALSE()</f>
        <v>0</v>
      </c>
      <c r="I118" s="2" t="b">
        <f>FALSE()</f>
        <v>0</v>
      </c>
      <c r="J118" s="2"/>
      <c r="K118" s="2">
        <f t="shared" si="7"/>
        <v>0</v>
      </c>
    </row>
    <row r="119" spans="1:11" ht="15" customHeight="1" x14ac:dyDescent="0.3">
      <c r="A119" s="4" t="str">
        <f t="shared" si="6"/>
        <v>Saturday</v>
      </c>
      <c r="B119" s="5">
        <v>46354</v>
      </c>
      <c r="C119" s="4"/>
      <c r="D119" s="4"/>
      <c r="E119" s="4"/>
      <c r="F119" s="4"/>
      <c r="G119" s="4"/>
      <c r="H119" s="4" t="b">
        <f>FALSE()</f>
        <v>0</v>
      </c>
      <c r="I119" s="4" t="b">
        <f>FALSE()</f>
        <v>0</v>
      </c>
      <c r="J119" s="4"/>
      <c r="K119" s="4">
        <f t="shared" si="7"/>
        <v>0</v>
      </c>
    </row>
    <row r="120" spans="1:11" ht="15" customHeight="1" x14ac:dyDescent="0.3">
      <c r="A120" s="2" t="str">
        <f t="shared" si="6"/>
        <v>Sunday</v>
      </c>
      <c r="B120" s="3">
        <v>46355</v>
      </c>
      <c r="C120" s="2"/>
      <c r="D120" s="2"/>
      <c r="E120" s="2"/>
      <c r="F120" s="2"/>
      <c r="G120" s="2"/>
      <c r="H120" s="2" t="b">
        <f>FALSE()</f>
        <v>0</v>
      </c>
      <c r="I120" s="2" t="b">
        <f>FALSE()</f>
        <v>0</v>
      </c>
      <c r="J120" s="2"/>
      <c r="K120" s="2">
        <f t="shared" si="7"/>
        <v>0</v>
      </c>
    </row>
    <row r="121" spans="1:11" ht="15" customHeight="1" x14ac:dyDescent="0.3">
      <c r="A121" s="4" t="str">
        <f t="shared" si="6"/>
        <v>Monday</v>
      </c>
      <c r="B121" s="5">
        <v>46356</v>
      </c>
      <c r="C121" s="4"/>
      <c r="D121" s="4"/>
      <c r="E121" s="4"/>
      <c r="F121" s="4"/>
      <c r="G121" s="4"/>
      <c r="H121" s="4" t="b">
        <f>FALSE()</f>
        <v>0</v>
      </c>
      <c r="I121" s="4" t="b">
        <f>FALSE()</f>
        <v>0</v>
      </c>
      <c r="J121" s="4"/>
      <c r="K121" s="4">
        <f t="shared" si="7"/>
        <v>0</v>
      </c>
    </row>
    <row r="122" spans="1:11" ht="15" customHeight="1" x14ac:dyDescent="0.3">
      <c r="A122" s="2" t="str">
        <f t="shared" si="6"/>
        <v>Tuesday</v>
      </c>
      <c r="B122" s="3">
        <v>46357</v>
      </c>
      <c r="C122" s="2"/>
      <c r="D122" s="2"/>
      <c r="E122" s="2"/>
      <c r="F122" s="2"/>
      <c r="G122" s="2"/>
      <c r="H122" s="2" t="b">
        <f>FALSE()</f>
        <v>0</v>
      </c>
      <c r="I122" s="2" t="b">
        <f>FALSE()</f>
        <v>0</v>
      </c>
      <c r="J122" s="2"/>
      <c r="K122" s="2">
        <f t="shared" si="7"/>
        <v>0</v>
      </c>
    </row>
    <row r="123" spans="1:11" ht="15" customHeight="1" x14ac:dyDescent="0.3">
      <c r="A123" s="4" t="str">
        <f t="shared" si="6"/>
        <v>Wednesday</v>
      </c>
      <c r="B123" s="5">
        <v>46358</v>
      </c>
      <c r="C123" s="4"/>
      <c r="D123" s="4"/>
      <c r="E123" s="4"/>
      <c r="F123" s="4"/>
      <c r="G123" s="4"/>
      <c r="H123" s="4" t="b">
        <f>FALSE()</f>
        <v>0</v>
      </c>
      <c r="I123" s="4" t="b">
        <f>FALSE()</f>
        <v>0</v>
      </c>
      <c r="J123" s="4"/>
      <c r="K123" s="4">
        <f t="shared" si="7"/>
        <v>0</v>
      </c>
    </row>
  </sheetData>
  <autoFilter ref="A3:K3" xr:uid="{00000000-0009-0000-0000-000000000000}"/>
  <mergeCells count="2">
    <mergeCell ref="A1:K1"/>
    <mergeCell ref="A2:K2"/>
  </mergeCells>
  <conditionalFormatting sqref="G4:K4 A5:K123 A4:D4">
    <cfRule type="expression" dxfId="463" priority="6">
      <formula>WEEKDAY($B4,2)&gt;5</formula>
    </cfRule>
  </conditionalFormatting>
  <conditionalFormatting sqref="H4:H123">
    <cfRule type="expression" dxfId="462" priority="2">
      <formula>$H4=1</formula>
    </cfRule>
    <cfRule type="expression" dxfId="461" priority="3">
      <formula>$H4=0</formula>
    </cfRule>
  </conditionalFormatting>
  <conditionalFormatting sqref="I4:I123">
    <cfRule type="expression" dxfId="460" priority="4">
      <formula>$I4=1</formula>
    </cfRule>
    <cfRule type="expression" dxfId="459" priority="5">
      <formula>$I4=0</formula>
    </cfRule>
  </conditionalFormatting>
  <dataValidations count="2">
    <dataValidation type="list" allowBlank="1" sqref="D4:D123" xr:uid="{00000000-0002-0000-0000-000000000000}">
      <formula1>"Python Advanced,Data Structures &amp; Algorithms,Operating Systems,Computer Networking,Databases,Mathematics,Machine Learning,Deep Learning,LLM Engineering,CUDA &amp; GPU Programming,Distributed Systems,Research Papers,Project Work,Interview Prep,Revision"</formula1>
      <formula2>0</formula2>
    </dataValidation>
    <dataValidation type="list" allowBlank="1" sqref="H4:I123" xr:uid="{00000000-0002-0000-0000-000001000000}">
      <formula1>"TRUE,FALSE"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"/>
  <sheetViews>
    <sheetView showGridLines="0" zoomScaleNormal="100" workbookViewId="0">
      <pane ySplit="3" topLeftCell="A4" activePane="bottomLeft" state="frozen"/>
      <selection pane="bottomLeft" sqref="A1:J1"/>
    </sheetView>
  </sheetViews>
  <sheetFormatPr defaultColWidth="8.6640625" defaultRowHeight="14.4" x14ac:dyDescent="0.3"/>
  <cols>
    <col min="1" max="1" width="8" customWidth="1"/>
    <col min="2" max="3" width="14" customWidth="1"/>
    <col min="4" max="4" width="16" customWidth="1"/>
    <col min="5" max="5" width="34" customWidth="1"/>
    <col min="6" max="7" width="16" customWidth="1"/>
    <col min="8" max="8" width="12" customWidth="1"/>
    <col min="9" max="9" width="30" customWidth="1"/>
    <col min="10" max="10" width="34" customWidth="1"/>
  </cols>
  <sheetData>
    <row r="1" spans="1:10" ht="33.75" customHeight="1" x14ac:dyDescent="0.3">
      <c r="A1" s="19" t="s">
        <v>13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15" customHeight="1" x14ac:dyDescent="0.3">
      <c r="A2" s="20" t="s">
        <v>14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ht="31.5" customHeight="1" x14ac:dyDescent="0.3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</row>
    <row r="4" spans="1:10" ht="15" customHeight="1" x14ac:dyDescent="0.3">
      <c r="A4" s="2">
        <v>1</v>
      </c>
      <c r="B4" s="3">
        <v>46239</v>
      </c>
      <c r="C4" s="3">
        <f t="shared" ref="C4:C21" si="0">B4+6</f>
        <v>46245</v>
      </c>
      <c r="D4" s="2">
        <f>SUMIFS('Daily Planner'!$G$4:$G$123,'Daily Planner'!$B$4:$B$123,"&gt;="&amp;B4,'Daily Planner'!$B$4:$B$123,"&lt;="&amp;C4,'Daily Planner'!$H$4:$H$123,TRUE())</f>
        <v>1</v>
      </c>
      <c r="E4" s="2"/>
      <c r="F4" s="2"/>
      <c r="G4" s="2"/>
      <c r="H4" s="2"/>
      <c r="I4" s="2"/>
      <c r="J4" s="2"/>
    </row>
    <row r="5" spans="1:10" ht="15" customHeight="1" x14ac:dyDescent="0.3">
      <c r="A5" s="4">
        <v>2</v>
      </c>
      <c r="B5" s="5">
        <v>46246</v>
      </c>
      <c r="C5" s="5">
        <f t="shared" si="0"/>
        <v>46252</v>
      </c>
      <c r="D5" s="4">
        <f>SUMIFS('Daily Planner'!$G$4:$G$123,'Daily Planner'!$B$4:$B$123,"&gt;="&amp;B5,'Daily Planner'!$B$4:$B$123,"&lt;="&amp;C5,'Daily Planner'!$H$4:$H$123,TRUE())</f>
        <v>0</v>
      </c>
      <c r="E5" s="4"/>
      <c r="F5" s="4"/>
      <c r="G5" s="4"/>
      <c r="H5" s="4"/>
      <c r="I5" s="4"/>
      <c r="J5" s="4"/>
    </row>
    <row r="6" spans="1:10" ht="15" customHeight="1" x14ac:dyDescent="0.3">
      <c r="A6" s="2">
        <v>3</v>
      </c>
      <c r="B6" s="3">
        <v>46253</v>
      </c>
      <c r="C6" s="3">
        <f t="shared" si="0"/>
        <v>46259</v>
      </c>
      <c r="D6" s="2">
        <f>SUMIFS('Daily Planner'!$G$4:$G$123,'Daily Planner'!$B$4:$B$123,"&gt;="&amp;B6,'Daily Planner'!$B$4:$B$123,"&lt;="&amp;C6,'Daily Planner'!$H$4:$H$123,TRUE())</f>
        <v>0</v>
      </c>
      <c r="E6" s="2"/>
      <c r="F6" s="2"/>
      <c r="G6" s="2"/>
      <c r="H6" s="2"/>
      <c r="I6" s="2"/>
      <c r="J6" s="2"/>
    </row>
    <row r="7" spans="1:10" ht="15" customHeight="1" x14ac:dyDescent="0.3">
      <c r="A7" s="4">
        <v>4</v>
      </c>
      <c r="B7" s="5">
        <v>46260</v>
      </c>
      <c r="C7" s="5">
        <f t="shared" si="0"/>
        <v>46266</v>
      </c>
      <c r="D7" s="4">
        <f>SUMIFS('Daily Planner'!$G$4:$G$123,'Daily Planner'!$B$4:$B$123,"&gt;="&amp;B7,'Daily Planner'!$B$4:$B$123,"&lt;="&amp;C7,'Daily Planner'!$H$4:$H$123,TRUE())</f>
        <v>0</v>
      </c>
      <c r="E7" s="4"/>
      <c r="F7" s="4"/>
      <c r="G7" s="4"/>
      <c r="H7" s="4"/>
      <c r="I7" s="4"/>
      <c r="J7" s="4"/>
    </row>
    <row r="8" spans="1:10" ht="15" customHeight="1" x14ac:dyDescent="0.3">
      <c r="A8" s="2">
        <v>5</v>
      </c>
      <c r="B8" s="3">
        <v>46267</v>
      </c>
      <c r="C8" s="3">
        <f t="shared" si="0"/>
        <v>46273</v>
      </c>
      <c r="D8" s="2">
        <f>SUMIFS('Daily Planner'!$G$4:$G$123,'Daily Planner'!$B$4:$B$123,"&gt;="&amp;B8,'Daily Planner'!$B$4:$B$123,"&lt;="&amp;C8,'Daily Planner'!$H$4:$H$123,TRUE())</f>
        <v>0</v>
      </c>
      <c r="E8" s="2"/>
      <c r="F8" s="2"/>
      <c r="G8" s="2"/>
      <c r="H8" s="2"/>
      <c r="I8" s="2"/>
      <c r="J8" s="2"/>
    </row>
    <row r="9" spans="1:10" ht="15" customHeight="1" x14ac:dyDescent="0.3">
      <c r="A9" s="4">
        <v>6</v>
      </c>
      <c r="B9" s="5">
        <v>46274</v>
      </c>
      <c r="C9" s="5">
        <f t="shared" si="0"/>
        <v>46280</v>
      </c>
      <c r="D9" s="4">
        <f>SUMIFS('Daily Planner'!$G$4:$G$123,'Daily Planner'!$B$4:$B$123,"&gt;="&amp;B9,'Daily Planner'!$B$4:$B$123,"&lt;="&amp;C9,'Daily Planner'!$H$4:$H$123,TRUE())</f>
        <v>0</v>
      </c>
      <c r="E9" s="4"/>
      <c r="F9" s="4"/>
      <c r="G9" s="4"/>
      <c r="H9" s="4"/>
      <c r="I9" s="4"/>
      <c r="J9" s="4"/>
    </row>
    <row r="10" spans="1:10" ht="15" customHeight="1" x14ac:dyDescent="0.3">
      <c r="A10" s="2">
        <v>7</v>
      </c>
      <c r="B10" s="3">
        <v>46281</v>
      </c>
      <c r="C10" s="3">
        <f t="shared" si="0"/>
        <v>46287</v>
      </c>
      <c r="D10" s="2">
        <f>SUMIFS('Daily Planner'!$G$4:$G$123,'Daily Planner'!$B$4:$B$123,"&gt;="&amp;B10,'Daily Planner'!$B$4:$B$123,"&lt;="&amp;C10,'Daily Planner'!$H$4:$H$123,TRUE())</f>
        <v>0</v>
      </c>
      <c r="E10" s="2"/>
      <c r="F10" s="2"/>
      <c r="G10" s="2"/>
      <c r="H10" s="2"/>
      <c r="I10" s="2"/>
      <c r="J10" s="2"/>
    </row>
    <row r="11" spans="1:10" ht="15" customHeight="1" x14ac:dyDescent="0.3">
      <c r="A11" s="4">
        <v>8</v>
      </c>
      <c r="B11" s="5">
        <v>46288</v>
      </c>
      <c r="C11" s="5">
        <f t="shared" si="0"/>
        <v>46294</v>
      </c>
      <c r="D11" s="4">
        <f>SUMIFS('Daily Planner'!$G$4:$G$123,'Daily Planner'!$B$4:$B$123,"&gt;="&amp;B11,'Daily Planner'!$B$4:$B$123,"&lt;="&amp;C11,'Daily Planner'!$H$4:$H$123,TRUE())</f>
        <v>0</v>
      </c>
      <c r="E11" s="4"/>
      <c r="F11" s="4"/>
      <c r="G11" s="4"/>
      <c r="H11" s="4"/>
      <c r="I11" s="4"/>
      <c r="J11" s="4"/>
    </row>
    <row r="12" spans="1:10" ht="15" customHeight="1" x14ac:dyDescent="0.3">
      <c r="A12" s="2">
        <v>9</v>
      </c>
      <c r="B12" s="3">
        <v>46295</v>
      </c>
      <c r="C12" s="3">
        <f t="shared" si="0"/>
        <v>46301</v>
      </c>
      <c r="D12" s="2">
        <f>SUMIFS('Daily Planner'!$G$4:$G$123,'Daily Planner'!$B$4:$B$123,"&gt;="&amp;B12,'Daily Planner'!$B$4:$B$123,"&lt;="&amp;C12,'Daily Planner'!$H$4:$H$123,TRUE())</f>
        <v>0</v>
      </c>
      <c r="E12" s="2"/>
      <c r="F12" s="2"/>
      <c r="G12" s="2"/>
      <c r="H12" s="2"/>
      <c r="I12" s="2"/>
      <c r="J12" s="2"/>
    </row>
    <row r="13" spans="1:10" ht="15" customHeight="1" x14ac:dyDescent="0.3">
      <c r="A13" s="4">
        <v>10</v>
      </c>
      <c r="B13" s="5">
        <v>46302</v>
      </c>
      <c r="C13" s="5">
        <f t="shared" si="0"/>
        <v>46308</v>
      </c>
      <c r="D13" s="4">
        <f>SUMIFS('Daily Planner'!$G$4:$G$123,'Daily Planner'!$B$4:$B$123,"&gt;="&amp;B13,'Daily Planner'!$B$4:$B$123,"&lt;="&amp;C13,'Daily Planner'!$H$4:$H$123,TRUE())</f>
        <v>0</v>
      </c>
      <c r="E13" s="4"/>
      <c r="F13" s="4"/>
      <c r="G13" s="4"/>
      <c r="H13" s="4"/>
      <c r="I13" s="4"/>
      <c r="J13" s="4"/>
    </row>
    <row r="14" spans="1:10" ht="15" customHeight="1" x14ac:dyDescent="0.3">
      <c r="A14" s="2">
        <v>11</v>
      </c>
      <c r="B14" s="3">
        <v>46309</v>
      </c>
      <c r="C14" s="3">
        <f t="shared" si="0"/>
        <v>46315</v>
      </c>
      <c r="D14" s="2">
        <f>SUMIFS('Daily Planner'!$G$4:$G$123,'Daily Planner'!$B$4:$B$123,"&gt;="&amp;B14,'Daily Planner'!$B$4:$B$123,"&lt;="&amp;C14,'Daily Planner'!$H$4:$H$123,TRUE())</f>
        <v>0</v>
      </c>
      <c r="E14" s="2"/>
      <c r="F14" s="2"/>
      <c r="G14" s="2"/>
      <c r="H14" s="2"/>
      <c r="I14" s="2"/>
      <c r="J14" s="2"/>
    </row>
    <row r="15" spans="1:10" ht="15" customHeight="1" x14ac:dyDescent="0.3">
      <c r="A15" s="4">
        <v>12</v>
      </c>
      <c r="B15" s="5">
        <v>46316</v>
      </c>
      <c r="C15" s="5">
        <f t="shared" si="0"/>
        <v>46322</v>
      </c>
      <c r="D15" s="4">
        <f>SUMIFS('Daily Planner'!$G$4:$G$123,'Daily Planner'!$B$4:$B$123,"&gt;="&amp;B15,'Daily Planner'!$B$4:$B$123,"&lt;="&amp;C15,'Daily Planner'!$H$4:$H$123,TRUE())</f>
        <v>0</v>
      </c>
      <c r="E15" s="4"/>
      <c r="F15" s="4"/>
      <c r="G15" s="4"/>
      <c r="H15" s="4"/>
      <c r="I15" s="4"/>
      <c r="J15" s="4"/>
    </row>
    <row r="16" spans="1:10" ht="15" customHeight="1" x14ac:dyDescent="0.3">
      <c r="A16" s="2">
        <v>13</v>
      </c>
      <c r="B16" s="3">
        <v>46323</v>
      </c>
      <c r="C16" s="3">
        <f t="shared" si="0"/>
        <v>46329</v>
      </c>
      <c r="D16" s="2">
        <f>SUMIFS('Daily Planner'!$G$4:$G$123,'Daily Planner'!$B$4:$B$123,"&gt;="&amp;B16,'Daily Planner'!$B$4:$B$123,"&lt;="&amp;C16,'Daily Planner'!$H$4:$H$123,TRUE())</f>
        <v>0</v>
      </c>
      <c r="E16" s="2"/>
      <c r="F16" s="2"/>
      <c r="G16" s="2"/>
      <c r="H16" s="2"/>
      <c r="I16" s="2"/>
      <c r="J16" s="2"/>
    </row>
    <row r="17" spans="1:10" ht="15" customHeight="1" x14ac:dyDescent="0.3">
      <c r="A17" s="4">
        <v>14</v>
      </c>
      <c r="B17" s="5">
        <v>46330</v>
      </c>
      <c r="C17" s="5">
        <f t="shared" si="0"/>
        <v>46336</v>
      </c>
      <c r="D17" s="4">
        <f>SUMIFS('Daily Planner'!$G$4:$G$123,'Daily Planner'!$B$4:$B$123,"&gt;="&amp;B17,'Daily Planner'!$B$4:$B$123,"&lt;="&amp;C17,'Daily Planner'!$H$4:$H$123,TRUE())</f>
        <v>0</v>
      </c>
      <c r="E17" s="4"/>
      <c r="F17" s="4"/>
      <c r="G17" s="4"/>
      <c r="H17" s="4"/>
      <c r="I17" s="4"/>
      <c r="J17" s="4"/>
    </row>
    <row r="18" spans="1:10" ht="15" customHeight="1" x14ac:dyDescent="0.3">
      <c r="A18" s="2">
        <v>15</v>
      </c>
      <c r="B18" s="3">
        <v>46337</v>
      </c>
      <c r="C18" s="3">
        <f t="shared" si="0"/>
        <v>46343</v>
      </c>
      <c r="D18" s="2">
        <f>SUMIFS('Daily Planner'!$G$4:$G$123,'Daily Planner'!$B$4:$B$123,"&gt;="&amp;B18,'Daily Planner'!$B$4:$B$123,"&lt;="&amp;C18,'Daily Planner'!$H$4:$H$123,TRUE())</f>
        <v>0</v>
      </c>
      <c r="E18" s="2"/>
      <c r="F18" s="2"/>
      <c r="G18" s="2"/>
      <c r="H18" s="2"/>
      <c r="I18" s="2"/>
      <c r="J18" s="2"/>
    </row>
    <row r="19" spans="1:10" ht="15" customHeight="1" x14ac:dyDescent="0.3">
      <c r="A19" s="4">
        <v>16</v>
      </c>
      <c r="B19" s="5">
        <v>46344</v>
      </c>
      <c r="C19" s="5">
        <f t="shared" si="0"/>
        <v>46350</v>
      </c>
      <c r="D19" s="4">
        <f>SUMIFS('Daily Planner'!$G$4:$G$123,'Daily Planner'!$B$4:$B$123,"&gt;="&amp;B19,'Daily Planner'!$B$4:$B$123,"&lt;="&amp;C19,'Daily Planner'!$H$4:$H$123,TRUE())</f>
        <v>0</v>
      </c>
      <c r="E19" s="4"/>
      <c r="F19" s="4"/>
      <c r="G19" s="4"/>
      <c r="H19" s="4"/>
      <c r="I19" s="4"/>
      <c r="J19" s="4"/>
    </row>
    <row r="20" spans="1:10" ht="15" customHeight="1" x14ac:dyDescent="0.3">
      <c r="A20" s="2">
        <v>17</v>
      </c>
      <c r="B20" s="3">
        <v>46351</v>
      </c>
      <c r="C20" s="3">
        <f t="shared" si="0"/>
        <v>46357</v>
      </c>
      <c r="D20" s="2">
        <f>SUMIFS('Daily Planner'!$G$4:$G$123,'Daily Planner'!$B$4:$B$123,"&gt;="&amp;B20,'Daily Planner'!$B$4:$B$123,"&lt;="&amp;C20,'Daily Planner'!$H$4:$H$123,TRUE())</f>
        <v>0</v>
      </c>
      <c r="E20" s="2"/>
      <c r="F20" s="2"/>
      <c r="G20" s="2"/>
      <c r="H20" s="2"/>
      <c r="I20" s="2"/>
      <c r="J20" s="2"/>
    </row>
    <row r="21" spans="1:10" ht="15" customHeight="1" x14ac:dyDescent="0.3">
      <c r="A21" s="4">
        <v>18</v>
      </c>
      <c r="B21" s="5">
        <v>46358</v>
      </c>
      <c r="C21" s="5">
        <f t="shared" si="0"/>
        <v>46364</v>
      </c>
      <c r="D21" s="4">
        <f>SUMIFS('Daily Planner'!$G$4:$G$123,'Daily Planner'!$B$4:$B$123,"&gt;="&amp;B21,'Daily Planner'!$B$4:$B$123,"&lt;="&amp;C21,'Daily Planner'!$H$4:$H$123,TRUE())</f>
        <v>0</v>
      </c>
      <c r="E21" s="4"/>
      <c r="F21" s="4"/>
      <c r="G21" s="4"/>
      <c r="H21" s="4"/>
      <c r="I21" s="4"/>
      <c r="J21" s="4"/>
    </row>
  </sheetData>
  <autoFilter ref="A3:J3" xr:uid="{00000000-0009-0000-0000-000001000000}"/>
  <mergeCells count="2">
    <mergeCell ref="A1:J1"/>
    <mergeCell ref="A2:J2"/>
  </mergeCells>
  <conditionalFormatting sqref="D4:D21">
    <cfRule type="expression" dxfId="458" priority="2">
      <formula>AND(C4&lt;TODAY(),D4=0)</formula>
    </cfRule>
    <cfRule type="expression" dxfId="457" priority="3">
      <formula>D4&gt;=15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showGridLines="0" topLeftCell="D1" zoomScaleNormal="100" workbookViewId="0">
      <pane ySplit="3" topLeftCell="A4" activePane="bottomLeft" state="frozen"/>
      <selection pane="bottomLeft" sqref="A1:G1"/>
    </sheetView>
  </sheetViews>
  <sheetFormatPr defaultColWidth="8.6640625" defaultRowHeight="14.4" x14ac:dyDescent="0.3"/>
  <cols>
    <col min="1" max="1" width="16" customWidth="1"/>
    <col min="2" max="2" width="20" customWidth="1"/>
    <col min="3" max="4" width="26" customWidth="1"/>
    <col min="5" max="5" width="22" customWidth="1"/>
    <col min="6" max="6" width="30" customWidth="1"/>
    <col min="7" max="7" width="34" customWidth="1"/>
  </cols>
  <sheetData>
    <row r="1" spans="1:7" ht="33.75" customHeight="1" x14ac:dyDescent="0.3">
      <c r="A1" s="19" t="s">
        <v>25</v>
      </c>
      <c r="B1" s="19"/>
      <c r="C1" s="19"/>
      <c r="D1" s="19"/>
      <c r="E1" s="19"/>
      <c r="F1" s="19"/>
      <c r="G1" s="19"/>
    </row>
    <row r="2" spans="1:7" ht="15" customHeight="1" x14ac:dyDescent="0.3">
      <c r="A2" s="20" t="s">
        <v>26</v>
      </c>
      <c r="B2" s="20"/>
      <c r="C2" s="20"/>
      <c r="D2" s="20"/>
      <c r="E2" s="20"/>
      <c r="F2" s="20"/>
      <c r="G2" s="20"/>
    </row>
    <row r="3" spans="1:7" ht="31.5" customHeight="1" x14ac:dyDescent="0.3">
      <c r="A3" s="1" t="s">
        <v>27</v>
      </c>
      <c r="B3" s="1" t="s">
        <v>28</v>
      </c>
      <c r="C3" s="1" t="s">
        <v>22</v>
      </c>
      <c r="D3" s="1" t="s">
        <v>29</v>
      </c>
      <c r="E3" s="1" t="s">
        <v>30</v>
      </c>
      <c r="F3" s="1" t="s">
        <v>31</v>
      </c>
      <c r="G3" s="1" t="s">
        <v>32</v>
      </c>
    </row>
    <row r="4" spans="1:7" ht="45.75" customHeight="1" x14ac:dyDescent="0.3">
      <c r="A4" s="2" t="s">
        <v>33</v>
      </c>
      <c r="B4" s="2">
        <f>COUNTIFS('Python Advanced'!O5:O34,"&gt;="&amp;DATE(2026,8,1),'Python Advanced'!O5:O34,"&lt;="&amp;DATE(2026,8,31))+COUNTIFS('Data Structures &amp; Algorithms'!O5:O38,"&gt;="&amp;DATE(2026,8,1),'Data Structures &amp; Algorithms'!O5:O38,"&lt;="&amp;DATE(2026,8,31))+COUNTIFS('Operating Systems'!O5:O33,"&gt;="&amp;DATE(2026,8,1),'Operating Systems'!O5:O33,"&lt;="&amp;DATE(2026,8,31))+COUNTIFS('Computer Networking'!O5:O29,"&gt;="&amp;DATE(2026,8,1),'Computer Networking'!O5:O29,"&lt;="&amp;DATE(2026,8,31))+COUNTIFS(Databases!O5:O24,"&gt;="&amp;DATE(2026,8,1),Databases!O5:O24,"&lt;="&amp;DATE(2026,8,31))+COUNTIFS(Mathematics!O5:O28,"&gt;="&amp;DATE(2026,8,1),Mathematics!O5:O28,"&lt;="&amp;DATE(2026,8,31))+COUNTIFS('Machine Learning'!O5:O23,"&gt;="&amp;DATE(2026,8,1),'Machine Learning'!O5:O23,"&lt;="&amp;DATE(2026,8,31))+COUNTIFS('Deep Learning'!O5:O23,"&gt;="&amp;DATE(2026,8,1),'Deep Learning'!O5:O23,"&lt;="&amp;DATE(2026,8,31))+COUNTIFS('LLM Engineering'!O5:O37,"&gt;="&amp;DATE(2026,8,1),'LLM Engineering'!O5:O37,"&lt;="&amp;DATE(2026,8,31))+COUNTIFS('CUDA &amp; GPU Programming'!O5:O22,"&gt;="&amp;DATE(2026,8,1),'CUDA &amp; GPU Programming'!O5:O22,"&lt;="&amp;DATE(2026,8,31))+COUNTIFS('Distributed Systems'!O5:O29,"&gt;="&amp;DATE(2026,8,1),'Distributed Systems'!O5:O29,"&lt;="&amp;DATE(2026,8,31))</f>
        <v>1</v>
      </c>
      <c r="C4" s="6"/>
      <c r="D4" s="6"/>
      <c r="E4" s="6"/>
      <c r="F4" s="6"/>
      <c r="G4" s="6"/>
    </row>
    <row r="5" spans="1:7" ht="45.75" customHeight="1" x14ac:dyDescent="0.3">
      <c r="A5" s="4" t="s">
        <v>34</v>
      </c>
      <c r="B5" s="4">
        <f>COUNTIFS('Python Advanced'!O5:O34,"&gt;="&amp;DATE(2026,9,1),'Python Advanced'!O5:O34,"&lt;="&amp;DATE(2026,9,30))+COUNTIFS('Data Structures &amp; Algorithms'!O5:O38,"&gt;="&amp;DATE(2026,9,1),'Data Structures &amp; Algorithms'!O5:O38,"&lt;="&amp;DATE(2026,9,30))+COUNTIFS('Operating Systems'!O5:O33,"&gt;="&amp;DATE(2026,9,1),'Operating Systems'!O5:O33,"&lt;="&amp;DATE(2026,9,30))+COUNTIFS('Computer Networking'!O5:O29,"&gt;="&amp;DATE(2026,9,1),'Computer Networking'!O5:O29,"&lt;="&amp;DATE(2026,9,30))+COUNTIFS(Databases!O5:O24,"&gt;="&amp;DATE(2026,9,1),Databases!O5:O24,"&lt;="&amp;DATE(2026,9,30))+COUNTIFS(Mathematics!O5:O28,"&gt;="&amp;DATE(2026,9,1),Mathematics!O5:O28,"&lt;="&amp;DATE(2026,9,30))+COUNTIFS('Machine Learning'!O5:O23,"&gt;="&amp;DATE(2026,9,1),'Machine Learning'!O5:O23,"&lt;="&amp;DATE(2026,9,30))+COUNTIFS('Deep Learning'!O5:O23,"&gt;="&amp;DATE(2026,9,1),'Deep Learning'!O5:O23,"&lt;="&amp;DATE(2026,9,30))+COUNTIFS('LLM Engineering'!O5:O37,"&gt;="&amp;DATE(2026,9,1),'LLM Engineering'!O5:O37,"&lt;="&amp;DATE(2026,9,30))+COUNTIFS('CUDA &amp; GPU Programming'!O5:O22,"&gt;="&amp;DATE(2026,9,1),'CUDA &amp; GPU Programming'!O5:O22,"&lt;="&amp;DATE(2026,9,30))+COUNTIFS('Distributed Systems'!O5:O29,"&gt;="&amp;DATE(2026,9,1),'Distributed Systems'!O5:O29,"&lt;="&amp;DATE(2026,9,30))</f>
        <v>0</v>
      </c>
      <c r="C5" s="7"/>
      <c r="D5" s="7"/>
      <c r="E5" s="7"/>
      <c r="F5" s="7"/>
      <c r="G5" s="7"/>
    </row>
    <row r="6" spans="1:7" ht="45.75" customHeight="1" x14ac:dyDescent="0.3">
      <c r="A6" s="2" t="s">
        <v>35</v>
      </c>
      <c r="B6" s="2">
        <f>COUNTIFS('Python Advanced'!O5:O34,"&gt;="&amp;DATE(2026,10,1),'Python Advanced'!O5:O34,"&lt;="&amp;DATE(2026,10,31))+COUNTIFS('Data Structures &amp; Algorithms'!O5:O38,"&gt;="&amp;DATE(2026,10,1),'Data Structures &amp; Algorithms'!O5:O38,"&lt;="&amp;DATE(2026,10,31))+COUNTIFS('Operating Systems'!O5:O33,"&gt;="&amp;DATE(2026,10,1),'Operating Systems'!O5:O33,"&lt;="&amp;DATE(2026,10,31))+COUNTIFS('Computer Networking'!O5:O29,"&gt;="&amp;DATE(2026,10,1),'Computer Networking'!O5:O29,"&lt;="&amp;DATE(2026,10,31))+COUNTIFS(Databases!O5:O24,"&gt;="&amp;DATE(2026,10,1),Databases!O5:O24,"&lt;="&amp;DATE(2026,10,31))+COUNTIFS(Mathematics!O5:O28,"&gt;="&amp;DATE(2026,10,1),Mathematics!O5:O28,"&lt;="&amp;DATE(2026,10,31))+COUNTIFS('Machine Learning'!O5:O23,"&gt;="&amp;DATE(2026,10,1),'Machine Learning'!O5:O23,"&lt;="&amp;DATE(2026,10,31))+COUNTIFS('Deep Learning'!O5:O23,"&gt;="&amp;DATE(2026,10,1),'Deep Learning'!O5:O23,"&lt;="&amp;DATE(2026,10,31))+COUNTIFS('LLM Engineering'!O5:O37,"&gt;="&amp;DATE(2026,10,1),'LLM Engineering'!O5:O37,"&lt;="&amp;DATE(2026,10,31))+COUNTIFS('CUDA &amp; GPU Programming'!O5:O22,"&gt;="&amp;DATE(2026,10,1),'CUDA &amp; GPU Programming'!O5:O22,"&lt;="&amp;DATE(2026,10,31))+COUNTIFS('Distributed Systems'!O5:O29,"&gt;="&amp;DATE(2026,10,1),'Distributed Systems'!O5:O29,"&lt;="&amp;DATE(2026,10,31))</f>
        <v>0</v>
      </c>
      <c r="C6" s="6"/>
      <c r="D6" s="6"/>
      <c r="E6" s="6"/>
      <c r="F6" s="6"/>
      <c r="G6" s="6"/>
    </row>
    <row r="7" spans="1:7" ht="45.75" customHeight="1" x14ac:dyDescent="0.3">
      <c r="A7" s="4" t="s">
        <v>36</v>
      </c>
      <c r="B7" s="4">
        <f>COUNTIFS('Python Advanced'!O5:O34,"&gt;="&amp;DATE(2026,11,1),'Python Advanced'!O5:O34,"&lt;="&amp;DATE(2026,11,30))+COUNTIFS('Data Structures &amp; Algorithms'!O5:O38,"&gt;="&amp;DATE(2026,11,1),'Data Structures &amp; Algorithms'!O5:O38,"&lt;="&amp;DATE(2026,11,30))+COUNTIFS('Operating Systems'!O5:O33,"&gt;="&amp;DATE(2026,11,1),'Operating Systems'!O5:O33,"&lt;="&amp;DATE(2026,11,30))+COUNTIFS('Computer Networking'!O5:O29,"&gt;="&amp;DATE(2026,11,1),'Computer Networking'!O5:O29,"&lt;="&amp;DATE(2026,11,30))+COUNTIFS(Databases!O5:O24,"&gt;="&amp;DATE(2026,11,1),Databases!O5:O24,"&lt;="&amp;DATE(2026,11,30))+COUNTIFS(Mathematics!O5:O28,"&gt;="&amp;DATE(2026,11,1),Mathematics!O5:O28,"&lt;="&amp;DATE(2026,11,30))+COUNTIFS('Machine Learning'!O5:O23,"&gt;="&amp;DATE(2026,11,1),'Machine Learning'!O5:O23,"&lt;="&amp;DATE(2026,11,30))+COUNTIFS('Deep Learning'!O5:O23,"&gt;="&amp;DATE(2026,11,1),'Deep Learning'!O5:O23,"&lt;="&amp;DATE(2026,11,30))+COUNTIFS('LLM Engineering'!O5:O37,"&gt;="&amp;DATE(2026,11,1),'LLM Engineering'!O5:O37,"&lt;="&amp;DATE(2026,11,30))+COUNTIFS('CUDA &amp; GPU Programming'!O5:O22,"&gt;="&amp;DATE(2026,11,1),'CUDA &amp; GPU Programming'!O5:O22,"&lt;="&amp;DATE(2026,11,30))+COUNTIFS('Distributed Systems'!O5:O29,"&gt;="&amp;DATE(2026,11,1),'Distributed Systems'!O5:O29,"&lt;="&amp;DATE(2026,11,30))</f>
        <v>0</v>
      </c>
      <c r="C7" s="7"/>
      <c r="D7" s="7"/>
      <c r="E7" s="7"/>
      <c r="F7" s="7"/>
      <c r="G7" s="7"/>
    </row>
    <row r="8" spans="1:7" ht="45.75" customHeight="1" x14ac:dyDescent="0.3">
      <c r="A8" s="2" t="s">
        <v>37</v>
      </c>
      <c r="B8" s="2">
        <f>COUNTIFS('Python Advanced'!O5:O34,"&gt;="&amp;DATE(2026,12,1),'Python Advanced'!O5:O34,"&lt;="&amp;DATE(2026,12,31))+COUNTIFS('Data Structures &amp; Algorithms'!O5:O38,"&gt;="&amp;DATE(2026,12,1),'Data Structures &amp; Algorithms'!O5:O38,"&lt;="&amp;DATE(2026,12,31))+COUNTIFS('Operating Systems'!O5:O33,"&gt;="&amp;DATE(2026,12,1),'Operating Systems'!O5:O33,"&lt;="&amp;DATE(2026,12,31))+COUNTIFS('Computer Networking'!O5:O29,"&gt;="&amp;DATE(2026,12,1),'Computer Networking'!O5:O29,"&lt;="&amp;DATE(2026,12,31))+COUNTIFS(Databases!O5:O24,"&gt;="&amp;DATE(2026,12,1),Databases!O5:O24,"&lt;="&amp;DATE(2026,12,31))+COUNTIFS(Mathematics!O5:O28,"&gt;="&amp;DATE(2026,12,1),Mathematics!O5:O28,"&lt;="&amp;DATE(2026,12,31))+COUNTIFS('Machine Learning'!O5:O23,"&gt;="&amp;DATE(2026,12,1),'Machine Learning'!O5:O23,"&lt;="&amp;DATE(2026,12,31))+COUNTIFS('Deep Learning'!O5:O23,"&gt;="&amp;DATE(2026,12,1),'Deep Learning'!O5:O23,"&lt;="&amp;DATE(2026,12,31))+COUNTIFS('LLM Engineering'!O5:O37,"&gt;="&amp;DATE(2026,12,1),'LLM Engineering'!O5:O37,"&lt;="&amp;DATE(2026,12,31))+COUNTIFS('CUDA &amp; GPU Programming'!O5:O22,"&gt;="&amp;DATE(2026,12,1),'CUDA &amp; GPU Programming'!O5:O22,"&lt;="&amp;DATE(2026,12,31))+COUNTIFS('Distributed Systems'!O5:O29,"&gt;="&amp;DATE(2026,12,1),'Distributed Systems'!O5:O29,"&lt;="&amp;DATE(2026,12,31))</f>
        <v>0</v>
      </c>
      <c r="C8" s="6"/>
      <c r="D8" s="6"/>
      <c r="E8" s="6"/>
      <c r="F8" s="6"/>
      <c r="G8" s="6"/>
    </row>
  </sheetData>
  <autoFilter ref="A3:G3" xr:uid="{00000000-0009-0000-0000-000002000000}"/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showGridLines="0" zoomScaleNormal="100" workbookViewId="0">
      <pane ySplit="3" topLeftCell="A4" activePane="bottomLeft" state="frozen"/>
      <selection pane="bottomLeft" sqref="A1:F1"/>
    </sheetView>
  </sheetViews>
  <sheetFormatPr defaultColWidth="8.6640625" defaultRowHeight="14.4" x14ac:dyDescent="0.3"/>
  <cols>
    <col min="1" max="1" width="26" customWidth="1"/>
    <col min="2" max="2" width="13" customWidth="1"/>
    <col min="3" max="4" width="12" customWidth="1"/>
    <col min="5" max="6" width="17" customWidth="1"/>
  </cols>
  <sheetData>
    <row r="1" spans="1:6" ht="33.75" customHeight="1" x14ac:dyDescent="0.3">
      <c r="A1" s="19" t="s">
        <v>38</v>
      </c>
      <c r="B1" s="19"/>
      <c r="C1" s="19"/>
      <c r="D1" s="19"/>
      <c r="E1" s="19"/>
      <c r="F1" s="19"/>
    </row>
    <row r="2" spans="1:6" ht="15" customHeight="1" x14ac:dyDescent="0.3">
      <c r="A2" s="20" t="s">
        <v>39</v>
      </c>
      <c r="B2" s="20"/>
      <c r="C2" s="20"/>
      <c r="D2" s="20"/>
      <c r="E2" s="20"/>
      <c r="F2" s="20"/>
    </row>
    <row r="3" spans="1:6" ht="31.5" customHeight="1" x14ac:dyDescent="0.3">
      <c r="A3" s="1" t="s">
        <v>5</v>
      </c>
      <c r="B3" s="1" t="s">
        <v>40</v>
      </c>
      <c r="C3" s="1" t="s">
        <v>9</v>
      </c>
      <c r="D3" s="1" t="s">
        <v>41</v>
      </c>
      <c r="E3" s="1" t="s">
        <v>42</v>
      </c>
      <c r="F3" s="1" t="s">
        <v>43</v>
      </c>
    </row>
    <row r="4" spans="1:6" ht="15" customHeight="1" x14ac:dyDescent="0.3">
      <c r="A4" s="2" t="s">
        <v>44</v>
      </c>
      <c r="B4" s="2">
        <f>SUMPRODUCT(COUNTIF('Python Advanced'!A5:A34,{"Completed","In Progress","Not Started","Research","Project","Optional"}))</f>
        <v>26</v>
      </c>
      <c r="C4" s="2">
        <f>COUNTIF('Python Advanced'!A5:A34,"Completed")</f>
        <v>2</v>
      </c>
      <c r="D4" s="8">
        <f t="shared" ref="D4:D15" si="0">IF(B4=0,0,ROUND(C4/B4*100,0))</f>
        <v>8</v>
      </c>
      <c r="E4" s="2">
        <f ca="1">COUNTIFS('Python Advanced'!Q5:Q34,"&lt;"&amp;TODAY(),'Python Advanced'!Q5:Q34,"&lt;&gt;")</f>
        <v>0</v>
      </c>
      <c r="F4" s="2">
        <f ca="1">COUNTIFS('Python Advanced'!Q5:Q34,"&gt;="&amp;TODAY(),'Python Advanced'!Q5:Q34,"&lt;="&amp;TODAY()+3)</f>
        <v>0</v>
      </c>
    </row>
    <row r="5" spans="1:6" ht="15" customHeight="1" x14ac:dyDescent="0.3">
      <c r="A5" s="4" t="s">
        <v>45</v>
      </c>
      <c r="B5" s="4">
        <f>SUMPRODUCT(COUNTIF('Data Structures &amp; Algorithms'!A5:A38,{"Completed","In Progress","Not Started","Research","Project","Optional"}))</f>
        <v>29</v>
      </c>
      <c r="C5" s="4">
        <f>COUNTIF('Data Structures &amp; Algorithms'!A5:A38,"Completed")</f>
        <v>0</v>
      </c>
      <c r="D5" s="9">
        <f t="shared" si="0"/>
        <v>0</v>
      </c>
      <c r="E5" s="4">
        <f ca="1">COUNTIFS('Data Structures &amp; Algorithms'!Q5:Q38,"&lt;"&amp;TODAY(),'Data Structures &amp; Algorithms'!Q5:Q38,"&lt;&gt;")</f>
        <v>0</v>
      </c>
      <c r="F5" s="4">
        <f ca="1">COUNTIFS('Data Structures &amp; Algorithms'!Q5:Q38,"&gt;="&amp;TODAY(),'Data Structures &amp; Algorithms'!Q5:Q38,"&lt;="&amp;TODAY()+3)</f>
        <v>0</v>
      </c>
    </row>
    <row r="6" spans="1:6" ht="15" customHeight="1" x14ac:dyDescent="0.3">
      <c r="A6" s="2" t="s">
        <v>46</v>
      </c>
      <c r="B6" s="2">
        <f>SUMPRODUCT(COUNTIF('Operating Systems'!A5:A33,{"Completed","In Progress","Not Started","Research","Project","Optional"}))</f>
        <v>25</v>
      </c>
      <c r="C6" s="2">
        <f>COUNTIF('Operating Systems'!A5:A33,"Completed")</f>
        <v>0</v>
      </c>
      <c r="D6" s="8">
        <f t="shared" si="0"/>
        <v>0</v>
      </c>
      <c r="E6" s="2">
        <f ca="1">COUNTIFS('Operating Systems'!Q5:Q33,"&lt;"&amp;TODAY(),'Operating Systems'!Q5:Q33,"&lt;&gt;")</f>
        <v>0</v>
      </c>
      <c r="F6" s="2">
        <f ca="1">COUNTIFS('Operating Systems'!Q5:Q33,"&gt;="&amp;TODAY(),'Operating Systems'!Q5:Q33,"&lt;="&amp;TODAY()+3)</f>
        <v>0</v>
      </c>
    </row>
    <row r="7" spans="1:6" ht="15" customHeight="1" x14ac:dyDescent="0.3">
      <c r="A7" s="4" t="s">
        <v>47</v>
      </c>
      <c r="B7" s="4">
        <f>SUMPRODUCT(COUNTIF('Computer Networking'!A5:A29,{"Completed","In Progress","Not Started","Research","Project","Optional"}))</f>
        <v>21</v>
      </c>
      <c r="C7" s="4">
        <f>COUNTIF('Computer Networking'!A5:A29,"Completed")</f>
        <v>0</v>
      </c>
      <c r="D7" s="9">
        <f t="shared" si="0"/>
        <v>0</v>
      </c>
      <c r="E7" s="4">
        <f ca="1">COUNTIFS('Computer Networking'!Q5:Q29,"&lt;"&amp;TODAY(),'Computer Networking'!Q5:Q29,"&lt;&gt;")</f>
        <v>0</v>
      </c>
      <c r="F7" s="4">
        <f ca="1">COUNTIFS('Computer Networking'!Q5:Q29,"&gt;="&amp;TODAY(),'Computer Networking'!Q5:Q29,"&lt;="&amp;TODAY()+3)</f>
        <v>0</v>
      </c>
    </row>
    <row r="8" spans="1:6" ht="15" customHeight="1" x14ac:dyDescent="0.3">
      <c r="A8" s="2" t="s">
        <v>48</v>
      </c>
      <c r="B8" s="2">
        <f>SUMPRODUCT(COUNTIF(Databases!A5:A24,{"Completed","In Progress","Not Started","Research","Project","Optional"}))</f>
        <v>17</v>
      </c>
      <c r="C8" s="2">
        <f>COUNTIF(Databases!A5:A24,"Completed")</f>
        <v>0</v>
      </c>
      <c r="D8" s="8">
        <f t="shared" si="0"/>
        <v>0</v>
      </c>
      <c r="E8" s="2">
        <f ca="1">COUNTIFS(Databases!Q5:Q24,"&lt;"&amp;TODAY(),Databases!Q5:Q24,"&lt;&gt;")</f>
        <v>0</v>
      </c>
      <c r="F8" s="2">
        <f ca="1">COUNTIFS(Databases!Q5:Q24,"&gt;="&amp;TODAY(),Databases!Q5:Q24,"&lt;="&amp;TODAY()+3)</f>
        <v>0</v>
      </c>
    </row>
    <row r="9" spans="1:6" ht="15" customHeight="1" x14ac:dyDescent="0.3">
      <c r="A9" s="4" t="s">
        <v>49</v>
      </c>
      <c r="B9" s="4">
        <f>SUMPRODUCT(COUNTIF(Mathematics!A5:A28,{"Completed","In Progress","Not Started","Research","Project","Optional"}))</f>
        <v>21</v>
      </c>
      <c r="C9" s="4">
        <f>COUNTIF(Mathematics!A5:A28,"Completed")</f>
        <v>0</v>
      </c>
      <c r="D9" s="9">
        <f t="shared" si="0"/>
        <v>0</v>
      </c>
      <c r="E9" s="4">
        <f ca="1">COUNTIFS(Mathematics!Q5:Q28,"&lt;"&amp;TODAY(),Mathematics!Q5:Q28,"&lt;&gt;")</f>
        <v>0</v>
      </c>
      <c r="F9" s="4">
        <f ca="1">COUNTIFS(Mathematics!Q5:Q28,"&gt;="&amp;TODAY(),Mathematics!Q5:Q28,"&lt;="&amp;TODAY()+3)</f>
        <v>0</v>
      </c>
    </row>
    <row r="10" spans="1:6" ht="15" customHeight="1" x14ac:dyDescent="0.3">
      <c r="A10" s="2" t="s">
        <v>50</v>
      </c>
      <c r="B10" s="2">
        <f>SUMPRODUCT(COUNTIF('Machine Learning'!A5:A23,{"Completed","In Progress","Not Started","Research","Project","Optional"}))</f>
        <v>16</v>
      </c>
      <c r="C10" s="2">
        <f>COUNTIF('Machine Learning'!A5:A23,"Completed")</f>
        <v>0</v>
      </c>
      <c r="D10" s="8">
        <f t="shared" si="0"/>
        <v>0</v>
      </c>
      <c r="E10" s="2">
        <f ca="1">COUNTIFS('Machine Learning'!Q5:Q23,"&lt;"&amp;TODAY(),'Machine Learning'!Q5:Q23,"&lt;&gt;")</f>
        <v>0</v>
      </c>
      <c r="F10" s="2">
        <f ca="1">COUNTIFS('Machine Learning'!Q5:Q23,"&gt;="&amp;TODAY(),'Machine Learning'!Q5:Q23,"&lt;="&amp;TODAY()+3)</f>
        <v>0</v>
      </c>
    </row>
    <row r="11" spans="1:6" ht="15" customHeight="1" x14ac:dyDescent="0.3">
      <c r="A11" s="4" t="s">
        <v>51</v>
      </c>
      <c r="B11" s="4">
        <f>SUMPRODUCT(COUNTIF('Deep Learning'!A5:A23,{"Completed","In Progress","Not Started","Research","Project","Optional"}))</f>
        <v>16</v>
      </c>
      <c r="C11" s="4">
        <f>COUNTIF('Deep Learning'!A5:A23,"Completed")</f>
        <v>0</v>
      </c>
      <c r="D11" s="9">
        <f t="shared" si="0"/>
        <v>0</v>
      </c>
      <c r="E11" s="4">
        <f ca="1">COUNTIFS('Deep Learning'!Q5:Q23,"&lt;"&amp;TODAY(),'Deep Learning'!Q5:Q23,"&lt;&gt;")</f>
        <v>0</v>
      </c>
      <c r="F11" s="4">
        <f ca="1">COUNTIFS('Deep Learning'!Q5:Q23,"&gt;="&amp;TODAY(),'Deep Learning'!Q5:Q23,"&lt;="&amp;TODAY()+3)</f>
        <v>0</v>
      </c>
    </row>
    <row r="12" spans="1:6" ht="15" customHeight="1" x14ac:dyDescent="0.3">
      <c r="A12" s="2" t="s">
        <v>52</v>
      </c>
      <c r="B12" s="2">
        <f>SUMPRODUCT(COUNTIF('LLM Engineering'!A5:A37,{"Completed","In Progress","Not Started","Research","Project","Optional"}))</f>
        <v>29</v>
      </c>
      <c r="C12" s="2">
        <f>COUNTIF('LLM Engineering'!A5:A37,"Completed")</f>
        <v>0</v>
      </c>
      <c r="D12" s="8">
        <f t="shared" si="0"/>
        <v>0</v>
      </c>
      <c r="E12" s="2">
        <f ca="1">COUNTIFS('LLM Engineering'!Q5:Q37,"&lt;"&amp;TODAY(),'LLM Engineering'!Q5:Q37,"&lt;&gt;")</f>
        <v>0</v>
      </c>
      <c r="F12" s="2">
        <f ca="1">COUNTIFS('LLM Engineering'!Q5:Q37,"&gt;="&amp;TODAY(),'LLM Engineering'!Q5:Q37,"&lt;="&amp;TODAY()+3)</f>
        <v>0</v>
      </c>
    </row>
    <row r="13" spans="1:6" ht="15" customHeight="1" x14ac:dyDescent="0.3">
      <c r="A13" s="4" t="s">
        <v>53</v>
      </c>
      <c r="B13" s="4">
        <f>SUMPRODUCT(COUNTIF('CUDA &amp; GPU Programming'!A5:A22,{"Completed","In Progress","Not Started","Research","Project","Optional"}))</f>
        <v>15</v>
      </c>
      <c r="C13" s="4">
        <f>COUNTIF('CUDA &amp; GPU Programming'!A5:A22,"Completed")</f>
        <v>0</v>
      </c>
      <c r="D13" s="9">
        <f t="shared" si="0"/>
        <v>0</v>
      </c>
      <c r="E13" s="4">
        <f ca="1">COUNTIFS('CUDA &amp; GPU Programming'!Q5:Q22,"&lt;"&amp;TODAY(),'CUDA &amp; GPU Programming'!Q5:Q22,"&lt;&gt;")</f>
        <v>0</v>
      </c>
      <c r="F13" s="4">
        <f ca="1">COUNTIFS('CUDA &amp; GPU Programming'!Q5:Q22,"&gt;="&amp;TODAY(),'CUDA &amp; GPU Programming'!Q5:Q22,"&lt;="&amp;TODAY()+3)</f>
        <v>0</v>
      </c>
    </row>
    <row r="14" spans="1:6" ht="15" customHeight="1" x14ac:dyDescent="0.3">
      <c r="A14" s="2" t="s">
        <v>54</v>
      </c>
      <c r="B14" s="2">
        <f>SUMPRODUCT(COUNTIF('Distributed Systems'!A5:A29,{"Completed","In Progress","Not Started","Research","Project","Optional"}))</f>
        <v>22</v>
      </c>
      <c r="C14" s="2">
        <f>COUNTIF('Distributed Systems'!A5:A29,"Completed")</f>
        <v>0</v>
      </c>
      <c r="D14" s="8">
        <f t="shared" si="0"/>
        <v>0</v>
      </c>
      <c r="E14" s="2">
        <f ca="1">COUNTIFS('Distributed Systems'!Q5:Q29,"&lt;"&amp;TODAY(),'Distributed Systems'!Q5:Q29,"&lt;&gt;")</f>
        <v>0</v>
      </c>
      <c r="F14" s="2">
        <f ca="1">COUNTIFS('Distributed Systems'!Q5:Q29,"&gt;="&amp;TODAY(),'Distributed Systems'!Q5:Q29,"&lt;="&amp;TODAY()+3)</f>
        <v>0</v>
      </c>
    </row>
    <row r="15" spans="1:6" ht="15" customHeight="1" x14ac:dyDescent="0.3">
      <c r="A15" s="10" t="s">
        <v>55</v>
      </c>
      <c r="B15" s="10">
        <f>SUM(B4:B14)</f>
        <v>237</v>
      </c>
      <c r="C15" s="10">
        <f>SUM(C4:C14)</f>
        <v>2</v>
      </c>
      <c r="D15" s="11">
        <f t="shared" si="0"/>
        <v>1</v>
      </c>
      <c r="E15" s="10">
        <f ca="1">SUM(E4:E14)</f>
        <v>0</v>
      </c>
      <c r="F15" s="10">
        <f ca="1">SUM(F4:F14)</f>
        <v>0</v>
      </c>
    </row>
  </sheetData>
  <autoFilter ref="A3:F3" xr:uid="{00000000-0009-0000-0000-000003000000}"/>
  <mergeCells count="2">
    <mergeCell ref="A1:F1"/>
    <mergeCell ref="A2:F2"/>
  </mergeCells>
  <conditionalFormatting sqref="D4:D15">
    <cfRule type="expression" dxfId="456" priority="4">
      <formula>D4=100</formula>
    </cfRule>
  </conditionalFormatting>
  <conditionalFormatting sqref="E4:E15">
    <cfRule type="expression" dxfId="455" priority="2">
      <formula>E4&gt;0</formula>
    </cfRule>
  </conditionalFormatting>
  <conditionalFormatting sqref="F4:F15">
    <cfRule type="expression" dxfId="454" priority="3">
      <formula>F4&gt;0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34"/>
  <sheetViews>
    <sheetView showGridLines="0" zoomScaleNormal="100" workbookViewId="0">
      <pane ySplit="4" topLeftCell="A5" activePane="bottomLeft" state="frozen"/>
      <selection pane="bottomLeft" activeCell="C4" sqref="C1:C1048576"/>
    </sheetView>
  </sheetViews>
  <sheetFormatPr defaultColWidth="8.6640625" defaultRowHeight="14.4" x14ac:dyDescent="0.3"/>
  <cols>
    <col min="1" max="1" width="12" customWidth="1"/>
    <col min="2" max="2" width="22" customWidth="1"/>
    <col min="3" max="3" width="44.88671875" bestFit="1" customWidth="1"/>
    <col min="4" max="4" width="12" customWidth="1"/>
    <col min="5" max="5" width="22" customWidth="1"/>
    <col min="6" max="6" width="34" customWidth="1"/>
    <col min="7" max="7" width="9" customWidth="1"/>
    <col min="8" max="8" width="26" customWidth="1"/>
    <col min="9" max="9" width="30" customWidth="1"/>
    <col min="10" max="10" width="24" customWidth="1"/>
    <col min="11" max="12" width="30" customWidth="1"/>
    <col min="13" max="13" width="40" customWidth="1"/>
    <col min="14" max="14" width="30" customWidth="1"/>
    <col min="15" max="15" width="13" customWidth="1"/>
    <col min="16" max="16" width="11" customWidth="1"/>
    <col min="17" max="17" width="13" customWidth="1"/>
  </cols>
  <sheetData>
    <row r="1" spans="1:17" ht="33.75" customHeight="1" x14ac:dyDescent="0.3">
      <c r="A1" s="19" t="s">
        <v>44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ht="15" customHeight="1" x14ac:dyDescent="0.3">
      <c r="A2" s="20" t="s">
        <v>56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ht="19.5" customHeight="1" x14ac:dyDescent="0.3">
      <c r="A3" s="21" t="s">
        <v>57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12">
        <f>ROUND(COUNTIF(A5:A34,"Completed")/SUMPRODUCT(COUNTIF(A5:A34,{"Completed","In Progress","Not Started","Research","Project","Optional"}))*100,0)</f>
        <v>8</v>
      </c>
    </row>
    <row r="4" spans="1:17" ht="31.5" customHeight="1" x14ac:dyDescent="0.3">
      <c r="A4" s="1" t="s">
        <v>58</v>
      </c>
      <c r="B4" s="1" t="s">
        <v>6</v>
      </c>
      <c r="C4" s="1" t="s">
        <v>7</v>
      </c>
      <c r="D4" s="1" t="s">
        <v>59</v>
      </c>
      <c r="E4" s="1" t="s">
        <v>60</v>
      </c>
      <c r="F4" s="1" t="s">
        <v>61</v>
      </c>
      <c r="G4" s="1" t="s">
        <v>62</v>
      </c>
      <c r="H4" s="1" t="s">
        <v>63</v>
      </c>
      <c r="I4" s="1" t="s">
        <v>64</v>
      </c>
      <c r="J4" s="1" t="s">
        <v>65</v>
      </c>
      <c r="K4" s="1" t="s">
        <v>66</v>
      </c>
      <c r="L4" s="1" t="s">
        <v>67</v>
      </c>
      <c r="M4" s="1" t="s">
        <v>68</v>
      </c>
      <c r="N4" s="1" t="s">
        <v>11</v>
      </c>
      <c r="O4" s="1" t="s">
        <v>69</v>
      </c>
      <c r="P4" s="1" t="s">
        <v>70</v>
      </c>
      <c r="Q4" s="1" t="s">
        <v>71</v>
      </c>
    </row>
    <row r="5" spans="1:17" ht="30" customHeight="1" x14ac:dyDescent="0.3">
      <c r="A5" s="18" t="s">
        <v>72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3">
      <c r="A6" s="2" t="s">
        <v>9</v>
      </c>
      <c r="B6" s="2" t="s">
        <v>74</v>
      </c>
      <c r="C6" s="2" t="s">
        <v>75</v>
      </c>
      <c r="D6" s="2" t="s">
        <v>76</v>
      </c>
      <c r="E6" s="2" t="s">
        <v>77</v>
      </c>
      <c r="F6" s="6" t="s">
        <v>78</v>
      </c>
      <c r="G6" s="2">
        <v>3</v>
      </c>
      <c r="H6" s="6" t="s">
        <v>79</v>
      </c>
      <c r="I6" s="6" t="s">
        <v>80</v>
      </c>
      <c r="J6" s="6" t="s">
        <v>81</v>
      </c>
      <c r="K6" s="6" t="s">
        <v>82</v>
      </c>
      <c r="L6" s="6" t="s">
        <v>83</v>
      </c>
      <c r="M6" s="6" t="s">
        <v>84</v>
      </c>
      <c r="N6" s="6" t="s">
        <v>85</v>
      </c>
      <c r="O6" s="3">
        <v>46239</v>
      </c>
      <c r="P6" s="2">
        <v>0</v>
      </c>
      <c r="Q6" s="3" t="str">
        <f t="shared" ref="Q6:Q13" si="0">IF(OR(O6="",P6=0),"",O6+CHOOSE(P6,1,3,7,14,30,90,365))</f>
        <v/>
      </c>
    </row>
    <row r="7" spans="1:17" ht="30" customHeight="1" x14ac:dyDescent="0.3">
      <c r="A7" s="4" t="s">
        <v>73</v>
      </c>
      <c r="B7" s="4" t="s">
        <v>86</v>
      </c>
      <c r="C7" s="4" t="s">
        <v>87</v>
      </c>
      <c r="D7" s="4" t="s">
        <v>76</v>
      </c>
      <c r="E7" s="4" t="s">
        <v>88</v>
      </c>
      <c r="F7" s="7" t="s">
        <v>89</v>
      </c>
      <c r="G7" s="4">
        <v>3</v>
      </c>
      <c r="H7" s="7" t="s">
        <v>90</v>
      </c>
      <c r="I7" s="7" t="s">
        <v>91</v>
      </c>
      <c r="J7" s="7" t="s">
        <v>91</v>
      </c>
      <c r="K7" s="7" t="s">
        <v>92</v>
      </c>
      <c r="L7" s="7" t="s">
        <v>93</v>
      </c>
      <c r="M7" s="7" t="s">
        <v>94</v>
      </c>
      <c r="N7" s="7" t="s">
        <v>95</v>
      </c>
      <c r="O7" s="5"/>
      <c r="P7" s="4">
        <v>0</v>
      </c>
      <c r="Q7" s="5" t="str">
        <f t="shared" si="0"/>
        <v/>
      </c>
    </row>
    <row r="8" spans="1:17" ht="30" customHeight="1" x14ac:dyDescent="0.3">
      <c r="A8" s="2" t="s">
        <v>73</v>
      </c>
      <c r="B8" s="2" t="s">
        <v>96</v>
      </c>
      <c r="C8" s="2" t="s">
        <v>97</v>
      </c>
      <c r="D8" s="2" t="s">
        <v>76</v>
      </c>
      <c r="E8" s="2" t="s">
        <v>74</v>
      </c>
      <c r="F8" s="6" t="s">
        <v>98</v>
      </c>
      <c r="G8" s="2">
        <v>2</v>
      </c>
      <c r="H8" s="6" t="s">
        <v>99</v>
      </c>
      <c r="I8" s="6" t="s">
        <v>100</v>
      </c>
      <c r="J8" s="6" t="s">
        <v>101</v>
      </c>
      <c r="K8" s="6" t="s">
        <v>102</v>
      </c>
      <c r="L8" s="6" t="s">
        <v>103</v>
      </c>
      <c r="M8" s="6" t="s">
        <v>104</v>
      </c>
      <c r="N8" s="6" t="s">
        <v>105</v>
      </c>
      <c r="O8" s="3"/>
      <c r="P8" s="2">
        <v>0</v>
      </c>
      <c r="Q8" s="3" t="str">
        <f t="shared" si="0"/>
        <v/>
      </c>
    </row>
    <row r="9" spans="1:17" ht="30" customHeight="1" x14ac:dyDescent="0.3">
      <c r="A9" s="4" t="s">
        <v>73</v>
      </c>
      <c r="B9" s="4" t="s">
        <v>106</v>
      </c>
      <c r="C9" s="4" t="s">
        <v>107</v>
      </c>
      <c r="D9" s="4" t="s">
        <v>76</v>
      </c>
      <c r="E9" s="4" t="s">
        <v>96</v>
      </c>
      <c r="F9" s="7" t="s">
        <v>108</v>
      </c>
      <c r="G9" s="4">
        <v>3</v>
      </c>
      <c r="H9" s="7" t="s">
        <v>109</v>
      </c>
      <c r="I9" s="7" t="s">
        <v>110</v>
      </c>
      <c r="J9" s="7" t="s">
        <v>110</v>
      </c>
      <c r="K9" s="7" t="s">
        <v>111</v>
      </c>
      <c r="L9" s="7" t="s">
        <v>112</v>
      </c>
      <c r="M9" s="7" t="s">
        <v>113</v>
      </c>
      <c r="N9" s="7" t="s">
        <v>114</v>
      </c>
      <c r="O9" s="5"/>
      <c r="P9" s="4">
        <v>0</v>
      </c>
      <c r="Q9" s="5" t="str">
        <f t="shared" si="0"/>
        <v/>
      </c>
    </row>
    <row r="10" spans="1:17" ht="30" customHeight="1" x14ac:dyDescent="0.3">
      <c r="A10" s="2" t="s">
        <v>73</v>
      </c>
      <c r="B10" s="2" t="s">
        <v>115</v>
      </c>
      <c r="C10" s="2" t="s">
        <v>116</v>
      </c>
      <c r="D10" s="2" t="s">
        <v>76</v>
      </c>
      <c r="E10" s="2" t="s">
        <v>117</v>
      </c>
      <c r="F10" s="6" t="s">
        <v>118</v>
      </c>
      <c r="G10" s="2">
        <v>3</v>
      </c>
      <c r="H10" s="6" t="s">
        <v>119</v>
      </c>
      <c r="I10" s="6" t="s">
        <v>120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3"/>
      <c r="P10" s="2">
        <v>0</v>
      </c>
      <c r="Q10" s="3" t="str">
        <f t="shared" si="0"/>
        <v/>
      </c>
    </row>
    <row r="11" spans="1:17" ht="30" customHeight="1" x14ac:dyDescent="0.3">
      <c r="A11" s="4" t="s">
        <v>73</v>
      </c>
      <c r="B11" s="4" t="s">
        <v>126</v>
      </c>
      <c r="C11" s="4" t="s">
        <v>127</v>
      </c>
      <c r="D11" s="4" t="s">
        <v>76</v>
      </c>
      <c r="E11" s="4" t="s">
        <v>115</v>
      </c>
      <c r="F11" s="7" t="s">
        <v>128</v>
      </c>
      <c r="G11" s="4">
        <v>2</v>
      </c>
      <c r="H11" s="7" t="s">
        <v>129</v>
      </c>
      <c r="I11" s="7" t="s">
        <v>130</v>
      </c>
      <c r="J11" s="7" t="s">
        <v>131</v>
      </c>
      <c r="K11" s="7" t="s">
        <v>132</v>
      </c>
      <c r="L11" s="7" t="s">
        <v>133</v>
      </c>
      <c r="M11" s="7" t="s">
        <v>134</v>
      </c>
      <c r="N11" s="7" t="s">
        <v>135</v>
      </c>
      <c r="O11" s="5"/>
      <c r="P11" s="4">
        <v>0</v>
      </c>
      <c r="Q11" s="5" t="str">
        <f t="shared" si="0"/>
        <v/>
      </c>
    </row>
    <row r="12" spans="1:17" ht="30" customHeight="1" x14ac:dyDescent="0.3">
      <c r="A12" s="2" t="s">
        <v>73</v>
      </c>
      <c r="B12" s="2" t="s">
        <v>136</v>
      </c>
      <c r="C12" s="2" t="s">
        <v>137</v>
      </c>
      <c r="D12" s="2" t="s">
        <v>138</v>
      </c>
      <c r="E12" s="2" t="s">
        <v>139</v>
      </c>
      <c r="F12" s="6" t="s">
        <v>140</v>
      </c>
      <c r="G12" s="2">
        <v>4</v>
      </c>
      <c r="H12" s="6" t="s">
        <v>141</v>
      </c>
      <c r="I12" s="6" t="s">
        <v>142</v>
      </c>
      <c r="J12" s="6" t="s">
        <v>143</v>
      </c>
      <c r="K12" s="6" t="s">
        <v>144</v>
      </c>
      <c r="L12" s="6" t="s">
        <v>145</v>
      </c>
      <c r="M12" s="6" t="s">
        <v>146</v>
      </c>
      <c r="N12" s="6" t="s">
        <v>147</v>
      </c>
      <c r="O12" s="3"/>
      <c r="P12" s="2">
        <v>0</v>
      </c>
      <c r="Q12" s="3" t="str">
        <f t="shared" si="0"/>
        <v/>
      </c>
    </row>
    <row r="13" spans="1:17" ht="30" customHeight="1" x14ac:dyDescent="0.3">
      <c r="A13" s="4" t="s">
        <v>73</v>
      </c>
      <c r="B13" s="4" t="s">
        <v>148</v>
      </c>
      <c r="C13" s="4" t="s">
        <v>149</v>
      </c>
      <c r="D13" s="4" t="s">
        <v>76</v>
      </c>
      <c r="E13" s="4" t="s">
        <v>115</v>
      </c>
      <c r="F13" s="7" t="s">
        <v>150</v>
      </c>
      <c r="G13" s="4">
        <v>1</v>
      </c>
      <c r="H13" s="7" t="s">
        <v>151</v>
      </c>
      <c r="I13" s="7" t="s">
        <v>152</v>
      </c>
      <c r="J13" s="7" t="s">
        <v>153</v>
      </c>
      <c r="K13" s="7" t="s">
        <v>154</v>
      </c>
      <c r="L13" s="7" t="s">
        <v>103</v>
      </c>
      <c r="M13" s="7" t="s">
        <v>155</v>
      </c>
      <c r="N13" s="7" t="s">
        <v>156</v>
      </c>
      <c r="O13" s="5"/>
      <c r="P13" s="4">
        <v>0</v>
      </c>
      <c r="Q13" s="5" t="str">
        <f t="shared" si="0"/>
        <v/>
      </c>
    </row>
    <row r="14" spans="1:17" ht="30" customHeight="1" x14ac:dyDescent="0.3">
      <c r="A14" s="18" t="s">
        <v>157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3">
      <c r="A15" s="2" t="s">
        <v>9</v>
      </c>
      <c r="B15" s="2" t="s">
        <v>158</v>
      </c>
      <c r="C15" s="2" t="s">
        <v>159</v>
      </c>
      <c r="D15" s="2" t="s">
        <v>138</v>
      </c>
      <c r="E15" s="2" t="s">
        <v>74</v>
      </c>
      <c r="F15" s="6" t="s">
        <v>160</v>
      </c>
      <c r="G15" s="2">
        <v>4</v>
      </c>
      <c r="H15" s="6" t="s">
        <v>161</v>
      </c>
      <c r="I15" s="6" t="s">
        <v>162</v>
      </c>
      <c r="J15" s="6" t="s">
        <v>163</v>
      </c>
      <c r="K15" s="6" t="s">
        <v>164</v>
      </c>
      <c r="L15" s="6" t="s">
        <v>103</v>
      </c>
      <c r="M15" s="6" t="s">
        <v>165</v>
      </c>
      <c r="N15" s="6" t="s">
        <v>166</v>
      </c>
      <c r="O15" s="3"/>
      <c r="P15" s="2">
        <v>2</v>
      </c>
      <c r="Q15" s="3" t="str">
        <f t="shared" ref="Q15:Q20" si="1">IF(OR(O15="",P15=0),"",O15+CHOOSE(P15,1,3,7,14,30,90,365))</f>
        <v/>
      </c>
    </row>
    <row r="16" spans="1:17" ht="30" customHeight="1" x14ac:dyDescent="0.3">
      <c r="A16" s="4" t="s">
        <v>73</v>
      </c>
      <c r="B16" s="4" t="s">
        <v>167</v>
      </c>
      <c r="C16" s="4" t="s">
        <v>168</v>
      </c>
      <c r="D16" s="4" t="s">
        <v>76</v>
      </c>
      <c r="E16" s="4" t="s">
        <v>158</v>
      </c>
      <c r="F16" s="7" t="s">
        <v>169</v>
      </c>
      <c r="G16" s="4">
        <v>3</v>
      </c>
      <c r="H16" s="7" t="s">
        <v>170</v>
      </c>
      <c r="I16" s="7" t="s">
        <v>171</v>
      </c>
      <c r="J16" s="7" t="s">
        <v>172</v>
      </c>
      <c r="K16" s="7" t="s">
        <v>173</v>
      </c>
      <c r="L16" s="7" t="s">
        <v>174</v>
      </c>
      <c r="M16" s="7" t="s">
        <v>175</v>
      </c>
      <c r="N16" s="7" t="s">
        <v>176</v>
      </c>
      <c r="O16" s="5"/>
      <c r="P16" s="4">
        <v>0</v>
      </c>
      <c r="Q16" s="5" t="str">
        <f t="shared" si="1"/>
        <v/>
      </c>
    </row>
    <row r="17" spans="1:17" ht="30" customHeight="1" x14ac:dyDescent="0.3">
      <c r="A17" s="2" t="s">
        <v>73</v>
      </c>
      <c r="B17" s="2" t="s">
        <v>177</v>
      </c>
      <c r="C17" s="2" t="s">
        <v>178</v>
      </c>
      <c r="D17" s="2" t="s">
        <v>76</v>
      </c>
      <c r="E17" s="2" t="s">
        <v>158</v>
      </c>
      <c r="F17" s="6" t="s">
        <v>179</v>
      </c>
      <c r="G17" s="2">
        <v>3</v>
      </c>
      <c r="H17" s="6" t="s">
        <v>180</v>
      </c>
      <c r="I17" s="6" t="s">
        <v>181</v>
      </c>
      <c r="J17" s="6" t="s">
        <v>182</v>
      </c>
      <c r="K17" s="6" t="s">
        <v>183</v>
      </c>
      <c r="L17" s="6" t="s">
        <v>103</v>
      </c>
      <c r="M17" s="6" t="s">
        <v>184</v>
      </c>
      <c r="N17" s="6" t="s">
        <v>185</v>
      </c>
      <c r="O17" s="3"/>
      <c r="P17" s="2">
        <v>0</v>
      </c>
      <c r="Q17" s="3" t="str">
        <f t="shared" si="1"/>
        <v/>
      </c>
    </row>
    <row r="18" spans="1:17" ht="30" customHeight="1" x14ac:dyDescent="0.3">
      <c r="A18" s="4" t="s">
        <v>73</v>
      </c>
      <c r="B18" s="4" t="s">
        <v>186</v>
      </c>
      <c r="C18" s="4" t="s">
        <v>187</v>
      </c>
      <c r="D18" s="4" t="s">
        <v>138</v>
      </c>
      <c r="E18" s="4" t="s">
        <v>177</v>
      </c>
      <c r="F18" s="7" t="s">
        <v>188</v>
      </c>
      <c r="G18" s="4">
        <v>4</v>
      </c>
      <c r="H18" s="7" t="s">
        <v>189</v>
      </c>
      <c r="I18" s="7" t="s">
        <v>190</v>
      </c>
      <c r="J18" s="7" t="s">
        <v>191</v>
      </c>
      <c r="K18" s="7" t="s">
        <v>192</v>
      </c>
      <c r="L18" s="7" t="s">
        <v>193</v>
      </c>
      <c r="M18" s="7" t="s">
        <v>194</v>
      </c>
      <c r="N18" s="7" t="s">
        <v>195</v>
      </c>
      <c r="O18" s="5"/>
      <c r="P18" s="4">
        <v>0</v>
      </c>
      <c r="Q18" s="5" t="str">
        <f t="shared" si="1"/>
        <v/>
      </c>
    </row>
    <row r="19" spans="1:17" ht="30" customHeight="1" x14ac:dyDescent="0.3">
      <c r="A19" s="2" t="s">
        <v>73</v>
      </c>
      <c r="B19" s="2" t="s">
        <v>196</v>
      </c>
      <c r="C19" s="2" t="s">
        <v>197</v>
      </c>
      <c r="D19" s="2" t="s">
        <v>76</v>
      </c>
      <c r="E19" s="2" t="s">
        <v>186</v>
      </c>
      <c r="F19" s="6" t="s">
        <v>198</v>
      </c>
      <c r="G19" s="2">
        <v>2</v>
      </c>
      <c r="H19" s="6" t="s">
        <v>199</v>
      </c>
      <c r="I19" s="6" t="s">
        <v>200</v>
      </c>
      <c r="J19" s="6" t="s">
        <v>200</v>
      </c>
      <c r="K19" s="6" t="s">
        <v>201</v>
      </c>
      <c r="L19" s="6" t="s">
        <v>103</v>
      </c>
      <c r="M19" s="6" t="s">
        <v>202</v>
      </c>
      <c r="N19" s="6" t="s">
        <v>203</v>
      </c>
      <c r="O19" s="3"/>
      <c r="P19" s="2">
        <v>0</v>
      </c>
      <c r="Q19" s="3" t="str">
        <f t="shared" si="1"/>
        <v/>
      </c>
    </row>
    <row r="20" spans="1:17" ht="30" customHeight="1" x14ac:dyDescent="0.3">
      <c r="A20" s="4" t="s">
        <v>73</v>
      </c>
      <c r="B20" s="4" t="s">
        <v>204</v>
      </c>
      <c r="C20" s="4" t="s">
        <v>205</v>
      </c>
      <c r="D20" s="4" t="s">
        <v>76</v>
      </c>
      <c r="E20" s="4" t="s">
        <v>206</v>
      </c>
      <c r="F20" s="7" t="s">
        <v>207</v>
      </c>
      <c r="G20" s="4">
        <v>2</v>
      </c>
      <c r="H20" s="7" t="s">
        <v>208</v>
      </c>
      <c r="I20" s="7" t="s">
        <v>209</v>
      </c>
      <c r="J20" s="7" t="s">
        <v>210</v>
      </c>
      <c r="K20" s="7" t="s">
        <v>211</v>
      </c>
      <c r="L20" s="7" t="s">
        <v>103</v>
      </c>
      <c r="M20" s="7" t="s">
        <v>212</v>
      </c>
      <c r="N20" s="7" t="s">
        <v>213</v>
      </c>
      <c r="O20" s="5"/>
      <c r="P20" s="4">
        <v>0</v>
      </c>
      <c r="Q20" s="5" t="str">
        <f t="shared" si="1"/>
        <v/>
      </c>
    </row>
    <row r="21" spans="1:17" ht="30" customHeight="1" x14ac:dyDescent="0.3">
      <c r="A21" s="18" t="s">
        <v>214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</row>
    <row r="22" spans="1:17" ht="30" customHeight="1" x14ac:dyDescent="0.3">
      <c r="A22" s="2" t="s">
        <v>73</v>
      </c>
      <c r="B22" s="2" t="s">
        <v>215</v>
      </c>
      <c r="C22" s="2" t="s">
        <v>216</v>
      </c>
      <c r="D22" s="2" t="s">
        <v>76</v>
      </c>
      <c r="E22" s="2" t="s">
        <v>74</v>
      </c>
      <c r="F22" s="6" t="s">
        <v>217</v>
      </c>
      <c r="G22" s="2">
        <v>3</v>
      </c>
      <c r="H22" s="6" t="s">
        <v>218</v>
      </c>
      <c r="I22" s="6" t="s">
        <v>219</v>
      </c>
      <c r="J22" s="6" t="s">
        <v>220</v>
      </c>
      <c r="K22" s="6" t="s">
        <v>221</v>
      </c>
      <c r="L22" s="6" t="s">
        <v>103</v>
      </c>
      <c r="M22" s="6" t="s">
        <v>222</v>
      </c>
      <c r="N22" s="6" t="s">
        <v>223</v>
      </c>
      <c r="O22" s="3"/>
      <c r="P22" s="2">
        <v>0</v>
      </c>
      <c r="Q22" s="3" t="str">
        <f t="shared" ref="Q22:Q28" si="2">IF(OR(O22="",P22=0),"",O22+CHOOSE(P22,1,3,7,14,30,90,365))</f>
        <v/>
      </c>
    </row>
    <row r="23" spans="1:17" ht="30" customHeight="1" x14ac:dyDescent="0.3">
      <c r="A23" s="4" t="s">
        <v>73</v>
      </c>
      <c r="B23" s="4" t="s">
        <v>224</v>
      </c>
      <c r="C23" s="4" t="s">
        <v>225</v>
      </c>
      <c r="D23" s="4" t="s">
        <v>138</v>
      </c>
      <c r="E23" s="4" t="s">
        <v>215</v>
      </c>
      <c r="F23" s="7" t="s">
        <v>226</v>
      </c>
      <c r="G23" s="4">
        <v>3</v>
      </c>
      <c r="H23" s="7" t="s">
        <v>227</v>
      </c>
      <c r="I23" s="7" t="s">
        <v>228</v>
      </c>
      <c r="J23" s="7" t="s">
        <v>229</v>
      </c>
      <c r="K23" s="7" t="s">
        <v>230</v>
      </c>
      <c r="L23" s="7" t="s">
        <v>103</v>
      </c>
      <c r="M23" s="7" t="s">
        <v>231</v>
      </c>
      <c r="N23" s="7" t="s">
        <v>232</v>
      </c>
      <c r="O23" s="5"/>
      <c r="P23" s="4">
        <v>0</v>
      </c>
      <c r="Q23" s="5" t="str">
        <f t="shared" si="2"/>
        <v/>
      </c>
    </row>
    <row r="24" spans="1:17" ht="30" customHeight="1" x14ac:dyDescent="0.3">
      <c r="A24" s="2" t="s">
        <v>73</v>
      </c>
      <c r="B24" s="2" t="s">
        <v>233</v>
      </c>
      <c r="C24" s="2" t="s">
        <v>234</v>
      </c>
      <c r="D24" s="2" t="s">
        <v>76</v>
      </c>
      <c r="E24" s="2" t="s">
        <v>115</v>
      </c>
      <c r="F24" s="6" t="s">
        <v>235</v>
      </c>
      <c r="G24" s="2">
        <v>2</v>
      </c>
      <c r="H24" s="6" t="s">
        <v>236</v>
      </c>
      <c r="I24" s="6" t="s">
        <v>237</v>
      </c>
      <c r="J24" s="6" t="s">
        <v>238</v>
      </c>
      <c r="K24" s="6" t="s">
        <v>239</v>
      </c>
      <c r="L24" s="6" t="s">
        <v>240</v>
      </c>
      <c r="M24" s="6" t="s">
        <v>241</v>
      </c>
      <c r="N24" s="6" t="s">
        <v>242</v>
      </c>
      <c r="O24" s="3"/>
      <c r="P24" s="2">
        <v>0</v>
      </c>
      <c r="Q24" s="3" t="str">
        <f t="shared" si="2"/>
        <v/>
      </c>
    </row>
    <row r="25" spans="1:17" ht="30" customHeight="1" x14ac:dyDescent="0.3">
      <c r="A25" s="4" t="s">
        <v>73</v>
      </c>
      <c r="B25" s="4" t="s">
        <v>243</v>
      </c>
      <c r="C25" s="4" t="s">
        <v>244</v>
      </c>
      <c r="D25" s="4" t="s">
        <v>76</v>
      </c>
      <c r="E25" s="4" t="s">
        <v>245</v>
      </c>
      <c r="F25" s="7" t="s">
        <v>246</v>
      </c>
      <c r="G25" s="4">
        <v>2</v>
      </c>
      <c r="H25" s="7" t="s">
        <v>247</v>
      </c>
      <c r="I25" s="7" t="s">
        <v>248</v>
      </c>
      <c r="J25" s="7" t="s">
        <v>249</v>
      </c>
      <c r="K25" s="7" t="s">
        <v>250</v>
      </c>
      <c r="L25" s="7" t="s">
        <v>103</v>
      </c>
      <c r="M25" s="7" t="s">
        <v>251</v>
      </c>
      <c r="N25" s="7" t="s">
        <v>252</v>
      </c>
      <c r="O25" s="5"/>
      <c r="P25" s="4">
        <v>0</v>
      </c>
      <c r="Q25" s="5" t="str">
        <f t="shared" si="2"/>
        <v/>
      </c>
    </row>
    <row r="26" spans="1:17" ht="30" customHeight="1" x14ac:dyDescent="0.3">
      <c r="A26" s="2" t="s">
        <v>73</v>
      </c>
      <c r="B26" s="2" t="s">
        <v>253</v>
      </c>
      <c r="C26" s="2" t="s">
        <v>254</v>
      </c>
      <c r="D26" s="2" t="s">
        <v>76</v>
      </c>
      <c r="E26" s="2" t="s">
        <v>243</v>
      </c>
      <c r="F26" s="6" t="s">
        <v>255</v>
      </c>
      <c r="G26" s="2">
        <v>2</v>
      </c>
      <c r="H26" s="6" t="s">
        <v>256</v>
      </c>
      <c r="I26" s="6" t="s">
        <v>257</v>
      </c>
      <c r="J26" s="6" t="s">
        <v>258</v>
      </c>
      <c r="K26" s="6" t="s">
        <v>259</v>
      </c>
      <c r="L26" s="6" t="s">
        <v>103</v>
      </c>
      <c r="M26" s="6" t="s">
        <v>260</v>
      </c>
      <c r="N26" s="6" t="s">
        <v>261</v>
      </c>
      <c r="O26" s="3"/>
      <c r="P26" s="2">
        <v>0</v>
      </c>
      <c r="Q26" s="3" t="str">
        <f t="shared" si="2"/>
        <v/>
      </c>
    </row>
    <row r="27" spans="1:17" ht="30" customHeight="1" x14ac:dyDescent="0.3">
      <c r="A27" s="4" t="s">
        <v>73</v>
      </c>
      <c r="B27" s="4" t="s">
        <v>262</v>
      </c>
      <c r="C27" s="4" t="s">
        <v>263</v>
      </c>
      <c r="D27" s="4" t="s">
        <v>76</v>
      </c>
      <c r="E27" s="4" t="s">
        <v>245</v>
      </c>
      <c r="F27" s="7" t="s">
        <v>264</v>
      </c>
      <c r="G27" s="4">
        <v>3</v>
      </c>
      <c r="H27" s="7" t="s">
        <v>265</v>
      </c>
      <c r="I27" s="7" t="s">
        <v>266</v>
      </c>
      <c r="J27" s="7" t="s">
        <v>267</v>
      </c>
      <c r="K27" s="7" t="s">
        <v>268</v>
      </c>
      <c r="L27" s="7" t="s">
        <v>269</v>
      </c>
      <c r="M27" s="7" t="s">
        <v>270</v>
      </c>
      <c r="N27" s="7" t="s">
        <v>271</v>
      </c>
      <c r="O27" s="5"/>
      <c r="P27" s="4">
        <v>0</v>
      </c>
      <c r="Q27" s="5" t="str">
        <f t="shared" si="2"/>
        <v/>
      </c>
    </row>
    <row r="28" spans="1:17" ht="30" customHeight="1" x14ac:dyDescent="0.3">
      <c r="A28" s="2" t="s">
        <v>73</v>
      </c>
      <c r="B28" s="2" t="s">
        <v>272</v>
      </c>
      <c r="C28" s="2" t="s">
        <v>273</v>
      </c>
      <c r="D28" s="2" t="s">
        <v>76</v>
      </c>
      <c r="E28" s="2" t="s">
        <v>262</v>
      </c>
      <c r="F28" s="6" t="s">
        <v>274</v>
      </c>
      <c r="G28" s="2">
        <v>2</v>
      </c>
      <c r="H28" s="6" t="s">
        <v>275</v>
      </c>
      <c r="I28" s="6" t="s">
        <v>276</v>
      </c>
      <c r="J28" s="6" t="s">
        <v>277</v>
      </c>
      <c r="K28" s="6" t="s">
        <v>278</v>
      </c>
      <c r="L28" s="6" t="s">
        <v>103</v>
      </c>
      <c r="M28" s="6" t="s">
        <v>279</v>
      </c>
      <c r="N28" s="6" t="s">
        <v>280</v>
      </c>
      <c r="O28" s="3"/>
      <c r="P28" s="2">
        <v>0</v>
      </c>
      <c r="Q28" s="3" t="str">
        <f t="shared" si="2"/>
        <v/>
      </c>
    </row>
    <row r="29" spans="1:17" ht="30" customHeight="1" x14ac:dyDescent="0.3">
      <c r="A29" s="18" t="s">
        <v>281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</row>
    <row r="30" spans="1:17" ht="30" customHeight="1" x14ac:dyDescent="0.3">
      <c r="A30" s="4" t="s">
        <v>73</v>
      </c>
      <c r="B30" s="4" t="s">
        <v>282</v>
      </c>
      <c r="C30" s="4" t="s">
        <v>283</v>
      </c>
      <c r="D30" s="4" t="s">
        <v>138</v>
      </c>
      <c r="E30" s="4" t="s">
        <v>284</v>
      </c>
      <c r="F30" s="7" t="s">
        <v>285</v>
      </c>
      <c r="G30" s="4">
        <v>5</v>
      </c>
      <c r="H30" s="7" t="s">
        <v>286</v>
      </c>
      <c r="I30" s="7" t="s">
        <v>287</v>
      </c>
      <c r="J30" s="7" t="s">
        <v>288</v>
      </c>
      <c r="K30" s="7" t="s">
        <v>289</v>
      </c>
      <c r="L30" s="7" t="s">
        <v>290</v>
      </c>
      <c r="M30" s="7" t="s">
        <v>291</v>
      </c>
      <c r="N30" s="7" t="s">
        <v>292</v>
      </c>
      <c r="O30" s="5"/>
      <c r="P30" s="4">
        <v>0</v>
      </c>
      <c r="Q30" s="5" t="str">
        <f>IF(OR(O30="",P30=0),"",O30+CHOOSE(P30,1,3,7,14,30,90,365))</f>
        <v/>
      </c>
    </row>
    <row r="31" spans="1:17" ht="30" customHeight="1" x14ac:dyDescent="0.3">
      <c r="A31" s="2" t="s">
        <v>73</v>
      </c>
      <c r="B31" s="2" t="s">
        <v>293</v>
      </c>
      <c r="C31" s="2" t="s">
        <v>294</v>
      </c>
      <c r="D31" s="2" t="s">
        <v>76</v>
      </c>
      <c r="E31" s="2" t="s">
        <v>295</v>
      </c>
      <c r="F31" s="6" t="s">
        <v>296</v>
      </c>
      <c r="G31" s="2">
        <v>4</v>
      </c>
      <c r="H31" s="6" t="s">
        <v>297</v>
      </c>
      <c r="I31" s="6" t="s">
        <v>298</v>
      </c>
      <c r="J31" s="6" t="s">
        <v>299</v>
      </c>
      <c r="K31" s="6" t="s">
        <v>300</v>
      </c>
      <c r="L31" s="6" t="s">
        <v>301</v>
      </c>
      <c r="M31" s="6" t="s">
        <v>302</v>
      </c>
      <c r="N31" s="6" t="s">
        <v>303</v>
      </c>
      <c r="O31" s="3"/>
      <c r="P31" s="2">
        <v>0</v>
      </c>
      <c r="Q31" s="3" t="str">
        <f>IF(OR(O31="",P31=0),"",O31+CHOOSE(P31,1,3,7,14,30,90,365))</f>
        <v/>
      </c>
    </row>
    <row r="32" spans="1:17" ht="30" customHeight="1" x14ac:dyDescent="0.3">
      <c r="A32" s="4" t="s">
        <v>73</v>
      </c>
      <c r="B32" s="4" t="s">
        <v>304</v>
      </c>
      <c r="C32" s="4" t="s">
        <v>305</v>
      </c>
      <c r="D32" s="4" t="s">
        <v>76</v>
      </c>
      <c r="E32" s="4" t="s">
        <v>306</v>
      </c>
      <c r="F32" s="7" t="s">
        <v>307</v>
      </c>
      <c r="G32" s="4">
        <v>4</v>
      </c>
      <c r="H32" s="7" t="s">
        <v>308</v>
      </c>
      <c r="I32" s="7" t="s">
        <v>309</v>
      </c>
      <c r="J32" s="7" t="s">
        <v>310</v>
      </c>
      <c r="K32" s="7" t="s">
        <v>311</v>
      </c>
      <c r="L32" s="7" t="s">
        <v>312</v>
      </c>
      <c r="M32" s="7" t="s">
        <v>313</v>
      </c>
      <c r="N32" s="7" t="s">
        <v>314</v>
      </c>
      <c r="O32" s="5"/>
      <c r="P32" s="4">
        <v>0</v>
      </c>
      <c r="Q32" s="5" t="str">
        <f>IF(OR(O32="",P32=0),"",O32+CHOOSE(P32,1,3,7,14,30,90,365))</f>
        <v/>
      </c>
    </row>
    <row r="33" spans="1:17" ht="30" customHeight="1" x14ac:dyDescent="0.3">
      <c r="A33" s="2" t="s">
        <v>73</v>
      </c>
      <c r="B33" s="2" t="s">
        <v>315</v>
      </c>
      <c r="C33" s="2" t="s">
        <v>316</v>
      </c>
      <c r="D33" s="2" t="s">
        <v>76</v>
      </c>
      <c r="E33" s="2" t="s">
        <v>282</v>
      </c>
      <c r="F33" s="6" t="s">
        <v>317</v>
      </c>
      <c r="G33" s="2">
        <v>3</v>
      </c>
      <c r="H33" s="6" t="s">
        <v>318</v>
      </c>
      <c r="I33" s="6" t="s">
        <v>319</v>
      </c>
      <c r="J33" s="6" t="s">
        <v>320</v>
      </c>
      <c r="K33" s="6" t="s">
        <v>321</v>
      </c>
      <c r="L33" s="6" t="s">
        <v>103</v>
      </c>
      <c r="M33" s="6" t="s">
        <v>322</v>
      </c>
      <c r="N33" s="6" t="s">
        <v>323</v>
      </c>
      <c r="O33" s="3"/>
      <c r="P33" s="2">
        <v>0</v>
      </c>
      <c r="Q33" s="3" t="str">
        <f>IF(OR(O33="",P33=0),"",O33+CHOOSE(P33,1,3,7,14,30,90,365))</f>
        <v/>
      </c>
    </row>
    <row r="34" spans="1:17" ht="30" customHeight="1" x14ac:dyDescent="0.3">
      <c r="A34" s="4" t="s">
        <v>73</v>
      </c>
      <c r="B34" s="4" t="s">
        <v>324</v>
      </c>
      <c r="C34" s="4" t="s">
        <v>325</v>
      </c>
      <c r="D34" s="4" t="s">
        <v>138</v>
      </c>
      <c r="E34" s="4" t="s">
        <v>315</v>
      </c>
      <c r="F34" s="7" t="s">
        <v>326</v>
      </c>
      <c r="G34" s="4">
        <v>5</v>
      </c>
      <c r="H34" s="7" t="s">
        <v>327</v>
      </c>
      <c r="I34" s="7" t="s">
        <v>328</v>
      </c>
      <c r="J34" s="7" t="s">
        <v>329</v>
      </c>
      <c r="K34" s="7" t="s">
        <v>330</v>
      </c>
      <c r="L34" s="7" t="s">
        <v>331</v>
      </c>
      <c r="M34" s="7" t="s">
        <v>332</v>
      </c>
      <c r="N34" s="7" t="s">
        <v>333</v>
      </c>
      <c r="O34" s="5"/>
      <c r="P34" s="4">
        <v>0</v>
      </c>
      <c r="Q34" s="5" t="str">
        <f>IF(OR(O34="",P34=0),"",O34+CHOOSE(P34,1,3,7,14,30,90,365))</f>
        <v/>
      </c>
    </row>
  </sheetData>
  <autoFilter ref="A4:Q4" xr:uid="{00000000-0009-0000-0000-000004000000}"/>
  <mergeCells count="7">
    <mergeCell ref="A21:Q21"/>
    <mergeCell ref="A29:Q29"/>
    <mergeCell ref="A1:Q1"/>
    <mergeCell ref="A2:Q2"/>
    <mergeCell ref="A3:P3"/>
    <mergeCell ref="A5:Q5"/>
    <mergeCell ref="A14:Q14"/>
  </mergeCells>
  <conditionalFormatting sqref="A6:A13">
    <cfRule type="expression" dxfId="453" priority="3">
      <formula>$A6="Completed"</formula>
    </cfRule>
    <cfRule type="expression" dxfId="452" priority="4">
      <formula>$A6="In Progress"</formula>
    </cfRule>
    <cfRule type="expression" dxfId="451" priority="5">
      <formula>$A6="Not Started"</formula>
    </cfRule>
    <cfRule type="expression" dxfId="450" priority="6">
      <formula>$A6="Research"</formula>
    </cfRule>
    <cfRule type="expression" dxfId="449" priority="7">
      <formula>$A6="Project"</formula>
    </cfRule>
    <cfRule type="expression" dxfId="448" priority="8">
      <formula>$A6="Optional"</formula>
    </cfRule>
  </conditionalFormatting>
  <conditionalFormatting sqref="A15:A20">
    <cfRule type="expression" dxfId="447" priority="11">
      <formula>$A15="Completed"</formula>
    </cfRule>
    <cfRule type="expression" dxfId="446" priority="12">
      <formula>$A15="In Progress"</formula>
    </cfRule>
    <cfRule type="expression" dxfId="445" priority="13">
      <formula>$A15="Not Started"</formula>
    </cfRule>
    <cfRule type="expression" dxfId="444" priority="14">
      <formula>$A15="Research"</formula>
    </cfRule>
    <cfRule type="expression" dxfId="443" priority="15">
      <formula>$A15="Project"</formula>
    </cfRule>
    <cfRule type="expression" dxfId="442" priority="16">
      <formula>$A15="Optional"</formula>
    </cfRule>
  </conditionalFormatting>
  <conditionalFormatting sqref="A22:A28">
    <cfRule type="expression" dxfId="441" priority="19">
      <formula>$A22="Completed"</formula>
    </cfRule>
    <cfRule type="expression" dxfId="440" priority="20">
      <formula>$A22="In Progress"</formula>
    </cfRule>
    <cfRule type="expression" dxfId="439" priority="21">
      <formula>$A22="Not Started"</formula>
    </cfRule>
    <cfRule type="expression" dxfId="438" priority="22">
      <formula>$A22="Research"</formula>
    </cfRule>
    <cfRule type="expression" dxfId="437" priority="23">
      <formula>$A22="Project"</formula>
    </cfRule>
    <cfRule type="expression" dxfId="436" priority="24">
      <formula>$A22="Optional"</formula>
    </cfRule>
  </conditionalFormatting>
  <conditionalFormatting sqref="A30:A34">
    <cfRule type="expression" dxfId="435" priority="27">
      <formula>$A30="Completed"</formula>
    </cfRule>
    <cfRule type="expression" dxfId="434" priority="28">
      <formula>$A30="In Progress"</formula>
    </cfRule>
    <cfRule type="expression" dxfId="433" priority="29">
      <formula>$A30="Not Started"</formula>
    </cfRule>
    <cfRule type="expression" dxfId="432" priority="30">
      <formula>$A30="Research"</formula>
    </cfRule>
    <cfRule type="expression" dxfId="431" priority="31">
      <formula>$A30="Project"</formula>
    </cfRule>
    <cfRule type="expression" dxfId="430" priority="32">
      <formula>$A30="Optional"</formula>
    </cfRule>
  </conditionalFormatting>
  <conditionalFormatting sqref="Q3">
    <cfRule type="dataBar" priority="2">
      <dataBar>
        <cfvo type="num" val="0"/>
        <cfvo type="num" val="100"/>
        <color rgb="FF8FC1E9"/>
      </dataBar>
      <extLst>
        <ext xmlns:x14="http://schemas.microsoft.com/office/spreadsheetml/2009/9/main" uri="{B025F937-C7B1-47D3-B67F-A62EFF666E3E}">
          <x14:id>{D43D70D3-C2FB-4655-A8DD-8381DAAC726D}</x14:id>
        </ext>
      </extLst>
    </cfRule>
  </conditionalFormatting>
  <conditionalFormatting sqref="Q6:Q13">
    <cfRule type="expression" dxfId="429" priority="9">
      <formula>AND($Q6&lt;&gt;"",$Q6&lt;TODAY())</formula>
    </cfRule>
    <cfRule type="expression" dxfId="428" priority="10">
      <formula>AND($Q6&lt;&gt;"",$Q6&gt;=TODAY(),$Q6&lt;=TODAY()+3)</formula>
    </cfRule>
  </conditionalFormatting>
  <conditionalFormatting sqref="Q15:Q20">
    <cfRule type="expression" dxfId="427" priority="17">
      <formula>AND($Q15&lt;&gt;"",$Q15&lt;TODAY())</formula>
    </cfRule>
    <cfRule type="expression" dxfId="426" priority="18">
      <formula>AND($Q15&lt;&gt;"",$Q15&gt;=TODAY(),$Q15&lt;=TODAY()+3)</formula>
    </cfRule>
  </conditionalFormatting>
  <conditionalFormatting sqref="Q22:Q28">
    <cfRule type="expression" dxfId="425" priority="25">
      <formula>AND($Q22&lt;&gt;"",$Q22&lt;TODAY())</formula>
    </cfRule>
    <cfRule type="expression" dxfId="424" priority="26">
      <formula>AND($Q22&lt;&gt;"",$Q22&gt;=TODAY(),$Q22&lt;=TODAY()+3)</formula>
    </cfRule>
  </conditionalFormatting>
  <conditionalFormatting sqref="Q30:Q34">
    <cfRule type="expression" dxfId="423" priority="33">
      <formula>AND($Q30&lt;&gt;"",$Q30&lt;TODAY())</formula>
    </cfRule>
    <cfRule type="expression" dxfId="422" priority="34">
      <formula>AND($Q30&lt;&gt;"",$Q30&gt;=TODAY(),$Q30&lt;=TODAY()+3)</formula>
    </cfRule>
  </conditionalFormatting>
  <dataValidations count="3">
    <dataValidation type="list" allowBlank="1" sqref="P6:P13 P15:P20 P22:P28 P30:P34" xr:uid="{00000000-0002-0000-0400-000000000000}">
      <formula1>"0,1,2,3,4,5,6,7"</formula1>
      <formula2>0</formula2>
    </dataValidation>
    <dataValidation type="list" allowBlank="1" sqref="A6:A13 A30:A34 A22:A28 A15:A20" xr:uid="{00000000-0002-0000-0400-000001000000}">
      <formula1>"Completed,In Progress,Not Started,Research,Project,Optional"</formula1>
      <formula2>0</formula2>
    </dataValidation>
    <dataValidation type="list" allowBlank="1" sqref="D6:D13 D30:D34 D22:D28 D15:D20" xr:uid="{00000000-0002-0000-0400-000002000000}">
      <formula1>"Intermediate,Advanced,Expert,Research-Level"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3D70D3-C2FB-4655-A8DD-8381DAAC726D}">
            <x14:dataBar axisPosition="none">
              <x14:cfvo type="num">
                <xm:f>0</xm:f>
              </x14:cfvo>
              <x14:cfvo type="num">
                <xm:f>100</xm:f>
              </x14:cfvo>
              <x14:negativeFillColor rgb="FF8FC1E9"/>
            </x14:dataBar>
          </x14:cfRule>
          <xm:sqref>Q3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38"/>
  <sheetViews>
    <sheetView showGridLines="0" topLeftCell="J1" zoomScaleNormal="100" workbookViewId="0">
      <pane ySplit="4" topLeftCell="A10" activePane="bottomLeft" state="frozen"/>
      <selection pane="bottomLeft" activeCell="I6" sqref="I6"/>
    </sheetView>
  </sheetViews>
  <sheetFormatPr defaultColWidth="8.6640625" defaultRowHeight="14.4" x14ac:dyDescent="0.3"/>
  <cols>
    <col min="1" max="1" width="12" customWidth="1"/>
    <col min="2" max="2" width="22" customWidth="1"/>
    <col min="3" max="3" width="44.88671875" bestFit="1" customWidth="1"/>
    <col min="4" max="4" width="12" customWidth="1"/>
    <col min="5" max="5" width="22" customWidth="1"/>
    <col min="6" max="6" width="34" customWidth="1"/>
    <col min="7" max="7" width="9" customWidth="1"/>
    <col min="8" max="8" width="26" customWidth="1"/>
    <col min="9" max="9" width="30" customWidth="1"/>
    <col min="10" max="10" width="24" customWidth="1"/>
    <col min="11" max="12" width="30" customWidth="1"/>
    <col min="13" max="13" width="40" customWidth="1"/>
    <col min="14" max="14" width="30" customWidth="1"/>
    <col min="15" max="15" width="13" customWidth="1"/>
    <col min="16" max="16" width="11" customWidth="1"/>
    <col min="17" max="17" width="13" customWidth="1"/>
  </cols>
  <sheetData>
    <row r="1" spans="1:17" ht="33.75" customHeight="1" x14ac:dyDescent="0.3">
      <c r="A1" s="19" t="s">
        <v>45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ht="15" customHeight="1" x14ac:dyDescent="0.3">
      <c r="A2" s="20" t="s">
        <v>334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ht="19.5" customHeight="1" x14ac:dyDescent="0.3">
      <c r="A3" s="21" t="s">
        <v>335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12">
        <f>ROUND(COUNTIF(A5:A38,"Completed")/SUMPRODUCT(COUNTIF(A5:A38,{"Completed","In Progress","Not Started","Research","Project","Optional"}))*100,0)</f>
        <v>0</v>
      </c>
    </row>
    <row r="4" spans="1:17" ht="31.5" customHeight="1" x14ac:dyDescent="0.3">
      <c r="A4" s="1" t="s">
        <v>58</v>
      </c>
      <c r="B4" s="1" t="s">
        <v>6</v>
      </c>
      <c r="C4" s="1" t="s">
        <v>7</v>
      </c>
      <c r="D4" s="1" t="s">
        <v>59</v>
      </c>
      <c r="E4" s="1" t="s">
        <v>60</v>
      </c>
      <c r="F4" s="1" t="s">
        <v>61</v>
      </c>
      <c r="G4" s="1" t="s">
        <v>62</v>
      </c>
      <c r="H4" s="1" t="s">
        <v>63</v>
      </c>
      <c r="I4" s="1" t="s">
        <v>64</v>
      </c>
      <c r="J4" s="1" t="s">
        <v>65</v>
      </c>
      <c r="K4" s="1" t="s">
        <v>66</v>
      </c>
      <c r="L4" s="1" t="s">
        <v>67</v>
      </c>
      <c r="M4" s="1" t="s">
        <v>68</v>
      </c>
      <c r="N4" s="1" t="s">
        <v>11</v>
      </c>
      <c r="O4" s="1" t="s">
        <v>69</v>
      </c>
      <c r="P4" s="1" t="s">
        <v>70</v>
      </c>
      <c r="Q4" s="1" t="s">
        <v>71</v>
      </c>
    </row>
    <row r="5" spans="1:17" ht="30" customHeight="1" x14ac:dyDescent="0.3">
      <c r="A5" s="18" t="s">
        <v>336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3">
      <c r="A6" s="2" t="s">
        <v>73</v>
      </c>
      <c r="B6" s="2" t="s">
        <v>337</v>
      </c>
      <c r="C6" s="2" t="s">
        <v>338</v>
      </c>
      <c r="D6" s="2" t="s">
        <v>76</v>
      </c>
      <c r="E6" s="2" t="s">
        <v>339</v>
      </c>
      <c r="F6" s="6" t="s">
        <v>340</v>
      </c>
      <c r="G6" s="2">
        <v>2</v>
      </c>
      <c r="H6" s="6" t="s">
        <v>341</v>
      </c>
      <c r="I6" s="6" t="s">
        <v>342</v>
      </c>
      <c r="J6" s="6" t="s">
        <v>343</v>
      </c>
      <c r="K6" s="6" t="s">
        <v>344</v>
      </c>
      <c r="L6" s="6" t="s">
        <v>103</v>
      </c>
      <c r="M6" s="6" t="s">
        <v>345</v>
      </c>
      <c r="N6" s="6" t="s">
        <v>346</v>
      </c>
      <c r="O6" s="3"/>
      <c r="P6" s="2">
        <v>0</v>
      </c>
      <c r="Q6" s="3" t="str">
        <f t="shared" ref="Q6:Q12" si="0">IF(OR(O6="",P6=0),"",O6+CHOOSE(P6,1,3,7,14,30,90,365))</f>
        <v/>
      </c>
    </row>
    <row r="7" spans="1:17" ht="30" customHeight="1" x14ac:dyDescent="0.3">
      <c r="A7" s="4" t="s">
        <v>73</v>
      </c>
      <c r="B7" s="4" t="s">
        <v>347</v>
      </c>
      <c r="C7" s="4" t="s">
        <v>348</v>
      </c>
      <c r="D7" s="4" t="s">
        <v>76</v>
      </c>
      <c r="E7" s="4" t="s">
        <v>349</v>
      </c>
      <c r="F7" s="7" t="s">
        <v>350</v>
      </c>
      <c r="G7" s="4">
        <v>3</v>
      </c>
      <c r="H7" s="7" t="s">
        <v>351</v>
      </c>
      <c r="I7" s="7" t="s">
        <v>352</v>
      </c>
      <c r="J7" s="7" t="s">
        <v>353</v>
      </c>
      <c r="K7" s="7" t="s">
        <v>354</v>
      </c>
      <c r="L7" s="7" t="s">
        <v>355</v>
      </c>
      <c r="M7" s="7" t="s">
        <v>356</v>
      </c>
      <c r="N7" s="7" t="s">
        <v>357</v>
      </c>
      <c r="O7" s="5"/>
      <c r="P7" s="4">
        <v>0</v>
      </c>
      <c r="Q7" s="5" t="str">
        <f t="shared" si="0"/>
        <v/>
      </c>
    </row>
    <row r="8" spans="1:17" ht="30" customHeight="1" x14ac:dyDescent="0.3">
      <c r="A8" s="2" t="s">
        <v>73</v>
      </c>
      <c r="B8" s="2" t="s">
        <v>358</v>
      </c>
      <c r="C8" s="2" t="s">
        <v>359</v>
      </c>
      <c r="D8" s="2" t="s">
        <v>76</v>
      </c>
      <c r="E8" s="2" t="s">
        <v>360</v>
      </c>
      <c r="F8" s="6" t="s">
        <v>361</v>
      </c>
      <c r="G8" s="2">
        <v>3</v>
      </c>
      <c r="H8" s="6" t="s">
        <v>362</v>
      </c>
      <c r="I8" s="6" t="s">
        <v>363</v>
      </c>
      <c r="J8" s="6" t="s">
        <v>103</v>
      </c>
      <c r="K8" s="6" t="s">
        <v>364</v>
      </c>
      <c r="L8" s="6" t="s">
        <v>103</v>
      </c>
      <c r="M8" s="6" t="s">
        <v>365</v>
      </c>
      <c r="N8" s="6" t="s">
        <v>366</v>
      </c>
      <c r="O8" s="3"/>
      <c r="P8" s="2">
        <v>0</v>
      </c>
      <c r="Q8" s="3" t="str">
        <f t="shared" si="0"/>
        <v/>
      </c>
    </row>
    <row r="9" spans="1:17" ht="30" customHeight="1" x14ac:dyDescent="0.3">
      <c r="A9" s="4" t="s">
        <v>73</v>
      </c>
      <c r="B9" s="4" t="s">
        <v>367</v>
      </c>
      <c r="C9" s="4" t="s">
        <v>368</v>
      </c>
      <c r="D9" s="4" t="s">
        <v>76</v>
      </c>
      <c r="E9" s="4" t="s">
        <v>369</v>
      </c>
      <c r="F9" s="7" t="s">
        <v>370</v>
      </c>
      <c r="G9" s="4">
        <v>2</v>
      </c>
      <c r="H9" s="7" t="s">
        <v>371</v>
      </c>
      <c r="I9" s="7" t="s">
        <v>372</v>
      </c>
      <c r="J9" s="7" t="s">
        <v>103</v>
      </c>
      <c r="K9" s="7" t="s">
        <v>373</v>
      </c>
      <c r="L9" s="7" t="s">
        <v>374</v>
      </c>
      <c r="M9" s="7" t="s">
        <v>375</v>
      </c>
      <c r="N9" s="7" t="s">
        <v>376</v>
      </c>
      <c r="O9" s="5"/>
      <c r="P9" s="4">
        <v>0</v>
      </c>
      <c r="Q9" s="5" t="str">
        <f t="shared" si="0"/>
        <v/>
      </c>
    </row>
    <row r="10" spans="1:17" ht="30" customHeight="1" x14ac:dyDescent="0.3">
      <c r="A10" s="2" t="s">
        <v>73</v>
      </c>
      <c r="B10" s="2" t="s">
        <v>377</v>
      </c>
      <c r="C10" s="2" t="s">
        <v>378</v>
      </c>
      <c r="D10" s="2" t="s">
        <v>76</v>
      </c>
      <c r="E10" s="2" t="s">
        <v>369</v>
      </c>
      <c r="F10" s="6" t="s">
        <v>379</v>
      </c>
      <c r="G10" s="2">
        <v>3</v>
      </c>
      <c r="H10" s="6" t="s">
        <v>380</v>
      </c>
      <c r="I10" s="6" t="s">
        <v>342</v>
      </c>
      <c r="J10" s="6" t="s">
        <v>103</v>
      </c>
      <c r="K10" s="6" t="s">
        <v>381</v>
      </c>
      <c r="L10" s="6" t="s">
        <v>103</v>
      </c>
      <c r="M10" s="6" t="s">
        <v>382</v>
      </c>
      <c r="N10" s="6" t="s">
        <v>383</v>
      </c>
      <c r="O10" s="3"/>
      <c r="P10" s="2">
        <v>0</v>
      </c>
      <c r="Q10" s="3" t="str">
        <f t="shared" si="0"/>
        <v/>
      </c>
    </row>
    <row r="11" spans="1:17" ht="30" customHeight="1" x14ac:dyDescent="0.3">
      <c r="A11" s="4" t="s">
        <v>73</v>
      </c>
      <c r="B11" s="4" t="s">
        <v>384</v>
      </c>
      <c r="C11" s="4" t="s">
        <v>385</v>
      </c>
      <c r="D11" s="4" t="s">
        <v>76</v>
      </c>
      <c r="E11" s="4" t="s">
        <v>386</v>
      </c>
      <c r="F11" s="7" t="s">
        <v>387</v>
      </c>
      <c r="G11" s="4">
        <v>3</v>
      </c>
      <c r="H11" s="7" t="s">
        <v>388</v>
      </c>
      <c r="I11" s="7" t="s">
        <v>389</v>
      </c>
      <c r="J11" s="7" t="s">
        <v>103</v>
      </c>
      <c r="K11" s="7" t="s">
        <v>390</v>
      </c>
      <c r="L11" s="7" t="s">
        <v>103</v>
      </c>
      <c r="M11" s="7" t="s">
        <v>391</v>
      </c>
      <c r="N11" s="7" t="s">
        <v>392</v>
      </c>
      <c r="O11" s="5"/>
      <c r="P11" s="4">
        <v>0</v>
      </c>
      <c r="Q11" s="5" t="str">
        <f t="shared" si="0"/>
        <v/>
      </c>
    </row>
    <row r="12" spans="1:17" ht="30" customHeight="1" x14ac:dyDescent="0.3">
      <c r="A12" s="2" t="s">
        <v>73</v>
      </c>
      <c r="B12" s="2" t="s">
        <v>393</v>
      </c>
      <c r="C12" s="2" t="s">
        <v>394</v>
      </c>
      <c r="D12" s="2" t="s">
        <v>76</v>
      </c>
      <c r="E12" s="2" t="s">
        <v>395</v>
      </c>
      <c r="F12" s="6" t="s">
        <v>396</v>
      </c>
      <c r="G12" s="2">
        <v>2</v>
      </c>
      <c r="H12" s="6" t="s">
        <v>397</v>
      </c>
      <c r="I12" s="6" t="s">
        <v>398</v>
      </c>
      <c r="J12" s="6" t="s">
        <v>103</v>
      </c>
      <c r="K12" s="6" t="s">
        <v>399</v>
      </c>
      <c r="L12" s="6" t="s">
        <v>103</v>
      </c>
      <c r="M12" s="6" t="s">
        <v>400</v>
      </c>
      <c r="N12" s="6" t="s">
        <v>401</v>
      </c>
      <c r="O12" s="3"/>
      <c r="P12" s="2">
        <v>0</v>
      </c>
      <c r="Q12" s="3" t="str">
        <f t="shared" si="0"/>
        <v/>
      </c>
    </row>
    <row r="13" spans="1:17" ht="30" customHeight="1" x14ac:dyDescent="0.3">
      <c r="A13" s="18" t="s">
        <v>402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3">
      <c r="A14" s="4" t="s">
        <v>73</v>
      </c>
      <c r="B14" s="4" t="s">
        <v>403</v>
      </c>
      <c r="C14" s="4" t="s">
        <v>404</v>
      </c>
      <c r="D14" s="4" t="s">
        <v>76</v>
      </c>
      <c r="E14" s="4" t="s">
        <v>405</v>
      </c>
      <c r="F14" s="7" t="s">
        <v>406</v>
      </c>
      <c r="G14" s="4">
        <v>3</v>
      </c>
      <c r="H14" s="7" t="s">
        <v>407</v>
      </c>
      <c r="I14" s="7" t="s">
        <v>408</v>
      </c>
      <c r="J14" s="7" t="s">
        <v>103</v>
      </c>
      <c r="K14" s="7" t="s">
        <v>409</v>
      </c>
      <c r="L14" s="7" t="s">
        <v>410</v>
      </c>
      <c r="M14" s="7" t="s">
        <v>411</v>
      </c>
      <c r="N14" s="7" t="s">
        <v>412</v>
      </c>
      <c r="O14" s="5"/>
      <c r="P14" s="4">
        <v>0</v>
      </c>
      <c r="Q14" s="5" t="str">
        <f t="shared" ref="Q14:Q19" si="1">IF(OR(O14="",P14=0),"",O14+CHOOSE(P14,1,3,7,14,30,90,365))</f>
        <v/>
      </c>
    </row>
    <row r="15" spans="1:17" ht="30" customHeight="1" x14ac:dyDescent="0.3">
      <c r="A15" s="2" t="s">
        <v>73</v>
      </c>
      <c r="B15" s="2" t="s">
        <v>413</v>
      </c>
      <c r="C15" s="2" t="s">
        <v>414</v>
      </c>
      <c r="D15" s="2" t="s">
        <v>138</v>
      </c>
      <c r="E15" s="2" t="s">
        <v>415</v>
      </c>
      <c r="F15" s="6" t="s">
        <v>416</v>
      </c>
      <c r="G15" s="2">
        <v>4</v>
      </c>
      <c r="H15" s="6" t="s">
        <v>417</v>
      </c>
      <c r="I15" s="6" t="s">
        <v>418</v>
      </c>
      <c r="J15" s="6" t="s">
        <v>103</v>
      </c>
      <c r="K15" s="6" t="s">
        <v>419</v>
      </c>
      <c r="L15" s="6" t="s">
        <v>420</v>
      </c>
      <c r="M15" s="6" t="s">
        <v>421</v>
      </c>
      <c r="N15" s="6" t="s">
        <v>422</v>
      </c>
      <c r="O15" s="3"/>
      <c r="P15" s="2">
        <v>0</v>
      </c>
      <c r="Q15" s="3" t="str">
        <f t="shared" si="1"/>
        <v/>
      </c>
    </row>
    <row r="16" spans="1:17" ht="30" customHeight="1" x14ac:dyDescent="0.3">
      <c r="A16" s="4" t="s">
        <v>73</v>
      </c>
      <c r="B16" s="4" t="s">
        <v>423</v>
      </c>
      <c r="C16" s="4" t="s">
        <v>424</v>
      </c>
      <c r="D16" s="4" t="s">
        <v>138</v>
      </c>
      <c r="E16" s="4" t="s">
        <v>413</v>
      </c>
      <c r="F16" s="7" t="s">
        <v>425</v>
      </c>
      <c r="G16" s="4">
        <v>5</v>
      </c>
      <c r="H16" s="7" t="s">
        <v>426</v>
      </c>
      <c r="I16" s="7" t="s">
        <v>427</v>
      </c>
      <c r="J16" s="7" t="s">
        <v>103</v>
      </c>
      <c r="K16" s="7" t="s">
        <v>428</v>
      </c>
      <c r="L16" s="7" t="s">
        <v>429</v>
      </c>
      <c r="M16" s="7" t="s">
        <v>430</v>
      </c>
      <c r="N16" s="7" t="s">
        <v>431</v>
      </c>
      <c r="O16" s="5"/>
      <c r="P16" s="4">
        <v>0</v>
      </c>
      <c r="Q16" s="5" t="str">
        <f t="shared" si="1"/>
        <v/>
      </c>
    </row>
    <row r="17" spans="1:17" ht="30" customHeight="1" x14ac:dyDescent="0.3">
      <c r="A17" s="2" t="s">
        <v>73</v>
      </c>
      <c r="B17" s="2" t="s">
        <v>432</v>
      </c>
      <c r="C17" s="2" t="s">
        <v>433</v>
      </c>
      <c r="D17" s="2" t="s">
        <v>138</v>
      </c>
      <c r="E17" s="2" t="s">
        <v>434</v>
      </c>
      <c r="F17" s="6" t="s">
        <v>435</v>
      </c>
      <c r="G17" s="2">
        <v>4</v>
      </c>
      <c r="H17" s="6" t="s">
        <v>436</v>
      </c>
      <c r="I17" s="6" t="s">
        <v>437</v>
      </c>
      <c r="J17" s="6" t="s">
        <v>103</v>
      </c>
      <c r="K17" s="6" t="s">
        <v>438</v>
      </c>
      <c r="L17" s="6" t="s">
        <v>103</v>
      </c>
      <c r="M17" s="6" t="s">
        <v>439</v>
      </c>
      <c r="N17" s="6" t="s">
        <v>440</v>
      </c>
      <c r="O17" s="3"/>
      <c r="P17" s="2">
        <v>0</v>
      </c>
      <c r="Q17" s="3" t="str">
        <f t="shared" si="1"/>
        <v/>
      </c>
    </row>
    <row r="18" spans="1:17" ht="30" customHeight="1" x14ac:dyDescent="0.3">
      <c r="A18" s="4" t="s">
        <v>73</v>
      </c>
      <c r="B18" s="4" t="s">
        <v>441</v>
      </c>
      <c r="C18" s="4" t="s">
        <v>442</v>
      </c>
      <c r="D18" s="4" t="s">
        <v>138</v>
      </c>
      <c r="E18" s="4" t="s">
        <v>443</v>
      </c>
      <c r="F18" s="7" t="s">
        <v>444</v>
      </c>
      <c r="G18" s="4">
        <v>4</v>
      </c>
      <c r="H18" s="7" t="s">
        <v>445</v>
      </c>
      <c r="I18" s="7" t="s">
        <v>446</v>
      </c>
      <c r="J18" s="7" t="s">
        <v>103</v>
      </c>
      <c r="K18" s="7" t="s">
        <v>447</v>
      </c>
      <c r="L18" s="7" t="s">
        <v>103</v>
      </c>
      <c r="M18" s="7" t="s">
        <v>448</v>
      </c>
      <c r="N18" s="7" t="s">
        <v>449</v>
      </c>
      <c r="O18" s="5"/>
      <c r="P18" s="4">
        <v>0</v>
      </c>
      <c r="Q18" s="5" t="str">
        <f t="shared" si="1"/>
        <v/>
      </c>
    </row>
    <row r="19" spans="1:17" ht="30" customHeight="1" x14ac:dyDescent="0.3">
      <c r="A19" s="2" t="s">
        <v>73</v>
      </c>
      <c r="B19" s="2" t="s">
        <v>450</v>
      </c>
      <c r="C19" s="2" t="s">
        <v>451</v>
      </c>
      <c r="D19" s="2" t="s">
        <v>76</v>
      </c>
      <c r="E19" s="2" t="s">
        <v>369</v>
      </c>
      <c r="F19" s="6" t="s">
        <v>452</v>
      </c>
      <c r="G19" s="2">
        <v>3</v>
      </c>
      <c r="H19" s="6" t="s">
        <v>453</v>
      </c>
      <c r="I19" s="6" t="s">
        <v>454</v>
      </c>
      <c r="J19" s="6" t="s">
        <v>103</v>
      </c>
      <c r="K19" s="6" t="s">
        <v>455</v>
      </c>
      <c r="L19" s="6" t="s">
        <v>456</v>
      </c>
      <c r="M19" s="6" t="s">
        <v>457</v>
      </c>
      <c r="N19" s="6" t="s">
        <v>458</v>
      </c>
      <c r="O19" s="3"/>
      <c r="P19" s="2">
        <v>0</v>
      </c>
      <c r="Q19" s="3" t="str">
        <f t="shared" si="1"/>
        <v/>
      </c>
    </row>
    <row r="20" spans="1:17" ht="30" customHeight="1" x14ac:dyDescent="0.3">
      <c r="A20" s="18" t="s">
        <v>459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</row>
    <row r="21" spans="1:17" ht="30" customHeight="1" x14ac:dyDescent="0.3">
      <c r="A21" s="4" t="s">
        <v>73</v>
      </c>
      <c r="B21" s="4" t="s">
        <v>460</v>
      </c>
      <c r="C21" s="4" t="s">
        <v>461</v>
      </c>
      <c r="D21" s="4" t="s">
        <v>76</v>
      </c>
      <c r="E21" s="4" t="s">
        <v>462</v>
      </c>
      <c r="F21" s="7" t="s">
        <v>463</v>
      </c>
      <c r="G21" s="4">
        <v>3</v>
      </c>
      <c r="H21" s="7" t="s">
        <v>464</v>
      </c>
      <c r="I21" s="7" t="s">
        <v>465</v>
      </c>
      <c r="J21" s="7" t="s">
        <v>103</v>
      </c>
      <c r="K21" s="7" t="s">
        <v>466</v>
      </c>
      <c r="L21" s="7" t="s">
        <v>103</v>
      </c>
      <c r="M21" s="7" t="s">
        <v>467</v>
      </c>
      <c r="N21" s="7" t="s">
        <v>468</v>
      </c>
      <c r="O21" s="5"/>
      <c r="P21" s="4">
        <v>0</v>
      </c>
      <c r="Q21" s="5" t="str">
        <f>IF(OR(O21="",P21=0),"",O21+CHOOSE(P21,1,3,7,14,30,90,365))</f>
        <v/>
      </c>
    </row>
    <row r="22" spans="1:17" ht="30" customHeight="1" x14ac:dyDescent="0.3">
      <c r="A22" s="2" t="s">
        <v>73</v>
      </c>
      <c r="B22" s="2" t="s">
        <v>469</v>
      </c>
      <c r="C22" s="2" t="s">
        <v>470</v>
      </c>
      <c r="D22" s="2" t="s">
        <v>76</v>
      </c>
      <c r="E22" s="2" t="s">
        <v>471</v>
      </c>
      <c r="F22" s="6" t="s">
        <v>472</v>
      </c>
      <c r="G22" s="2">
        <v>4</v>
      </c>
      <c r="H22" s="6" t="s">
        <v>473</v>
      </c>
      <c r="I22" s="6" t="s">
        <v>474</v>
      </c>
      <c r="J22" s="6" t="s">
        <v>103</v>
      </c>
      <c r="K22" s="6" t="s">
        <v>475</v>
      </c>
      <c r="L22" s="6" t="s">
        <v>476</v>
      </c>
      <c r="M22" s="6" t="s">
        <v>477</v>
      </c>
      <c r="N22" s="6" t="s">
        <v>478</v>
      </c>
      <c r="O22" s="3"/>
      <c r="P22" s="2">
        <v>0</v>
      </c>
      <c r="Q22" s="3" t="str">
        <f>IF(OR(O22="",P22=0),"",O22+CHOOSE(P22,1,3,7,14,30,90,365))</f>
        <v/>
      </c>
    </row>
    <row r="23" spans="1:17" ht="30" customHeight="1" x14ac:dyDescent="0.3">
      <c r="A23" s="4" t="s">
        <v>73</v>
      </c>
      <c r="B23" s="4" t="s">
        <v>479</v>
      </c>
      <c r="C23" s="4" t="s">
        <v>480</v>
      </c>
      <c r="D23" s="4" t="s">
        <v>76</v>
      </c>
      <c r="E23" s="4" t="s">
        <v>460</v>
      </c>
      <c r="F23" s="7" t="s">
        <v>481</v>
      </c>
      <c r="G23" s="4">
        <v>2</v>
      </c>
      <c r="H23" s="7" t="s">
        <v>482</v>
      </c>
      <c r="I23" s="7" t="s">
        <v>465</v>
      </c>
      <c r="J23" s="7" t="s">
        <v>103</v>
      </c>
      <c r="K23" s="7" t="s">
        <v>483</v>
      </c>
      <c r="L23" s="7" t="s">
        <v>103</v>
      </c>
      <c r="M23" s="7" t="s">
        <v>484</v>
      </c>
      <c r="N23" s="7" t="s">
        <v>485</v>
      </c>
      <c r="O23" s="5"/>
      <c r="P23" s="4">
        <v>0</v>
      </c>
      <c r="Q23" s="5" t="str">
        <f>IF(OR(O23="",P23=0),"",O23+CHOOSE(P23,1,3,7,14,30,90,365))</f>
        <v/>
      </c>
    </row>
    <row r="24" spans="1:17" ht="30" customHeight="1" x14ac:dyDescent="0.3">
      <c r="A24" s="2" t="s">
        <v>73</v>
      </c>
      <c r="B24" s="2" t="s">
        <v>486</v>
      </c>
      <c r="C24" s="2" t="s">
        <v>487</v>
      </c>
      <c r="D24" s="2" t="s">
        <v>138</v>
      </c>
      <c r="E24" s="2" t="s">
        <v>488</v>
      </c>
      <c r="F24" s="6" t="s">
        <v>489</v>
      </c>
      <c r="G24" s="2">
        <v>5</v>
      </c>
      <c r="H24" s="6" t="s">
        <v>490</v>
      </c>
      <c r="I24" s="6" t="s">
        <v>491</v>
      </c>
      <c r="J24" s="6" t="s">
        <v>103</v>
      </c>
      <c r="K24" s="6" t="s">
        <v>492</v>
      </c>
      <c r="L24" s="6" t="s">
        <v>103</v>
      </c>
      <c r="M24" s="6" t="s">
        <v>493</v>
      </c>
      <c r="N24" s="6" t="s">
        <v>494</v>
      </c>
      <c r="O24" s="3"/>
      <c r="P24" s="2">
        <v>0</v>
      </c>
      <c r="Q24" s="3" t="str">
        <f>IF(OR(O24="",P24=0),"",O24+CHOOSE(P24,1,3,7,14,30,90,365))</f>
        <v/>
      </c>
    </row>
    <row r="25" spans="1:17" ht="30" customHeight="1" x14ac:dyDescent="0.3">
      <c r="A25" s="4" t="s">
        <v>73</v>
      </c>
      <c r="B25" s="4" t="s">
        <v>495</v>
      </c>
      <c r="C25" s="4" t="s">
        <v>496</v>
      </c>
      <c r="D25" s="4" t="s">
        <v>138</v>
      </c>
      <c r="E25" s="4" t="s">
        <v>486</v>
      </c>
      <c r="F25" s="7" t="s">
        <v>497</v>
      </c>
      <c r="G25" s="4">
        <v>3</v>
      </c>
      <c r="H25" s="7" t="s">
        <v>498</v>
      </c>
      <c r="I25" s="7" t="s">
        <v>499</v>
      </c>
      <c r="J25" s="7" t="s">
        <v>103</v>
      </c>
      <c r="K25" s="7" t="s">
        <v>500</v>
      </c>
      <c r="L25" s="7" t="s">
        <v>103</v>
      </c>
      <c r="M25" s="7" t="s">
        <v>501</v>
      </c>
      <c r="N25" s="7" t="s">
        <v>502</v>
      </c>
      <c r="O25" s="5"/>
      <c r="P25" s="4">
        <v>0</v>
      </c>
      <c r="Q25" s="5" t="str">
        <f>IF(OR(O25="",P25=0),"",O25+CHOOSE(P25,1,3,7,14,30,90,365))</f>
        <v/>
      </c>
    </row>
    <row r="26" spans="1:17" ht="30" customHeight="1" x14ac:dyDescent="0.3">
      <c r="A26" s="18" t="s">
        <v>503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</row>
    <row r="27" spans="1:17" ht="30" customHeight="1" x14ac:dyDescent="0.3">
      <c r="A27" s="2" t="s">
        <v>73</v>
      </c>
      <c r="B27" s="2" t="s">
        <v>504</v>
      </c>
      <c r="C27" s="2" t="s">
        <v>505</v>
      </c>
      <c r="D27" s="2" t="s">
        <v>76</v>
      </c>
      <c r="E27" s="2" t="s">
        <v>506</v>
      </c>
      <c r="F27" s="6" t="s">
        <v>507</v>
      </c>
      <c r="G27" s="2">
        <v>5</v>
      </c>
      <c r="H27" s="6" t="s">
        <v>508</v>
      </c>
      <c r="I27" s="6" t="s">
        <v>509</v>
      </c>
      <c r="J27" s="6" t="s">
        <v>103</v>
      </c>
      <c r="K27" s="6" t="s">
        <v>510</v>
      </c>
      <c r="L27" s="6" t="s">
        <v>103</v>
      </c>
      <c r="M27" s="6" t="s">
        <v>511</v>
      </c>
      <c r="N27" s="6" t="s">
        <v>512</v>
      </c>
      <c r="O27" s="3"/>
      <c r="P27" s="2">
        <v>0</v>
      </c>
      <c r="Q27" s="3" t="str">
        <f>IF(OR(O27="",P27=0),"",O27+CHOOSE(P27,1,3,7,14,30,90,365))</f>
        <v/>
      </c>
    </row>
    <row r="28" spans="1:17" ht="30" customHeight="1" x14ac:dyDescent="0.3">
      <c r="A28" s="4" t="s">
        <v>73</v>
      </c>
      <c r="B28" s="4" t="s">
        <v>513</v>
      </c>
      <c r="C28" s="4" t="s">
        <v>514</v>
      </c>
      <c r="D28" s="4" t="s">
        <v>138</v>
      </c>
      <c r="E28" s="4" t="s">
        <v>515</v>
      </c>
      <c r="F28" s="7" t="s">
        <v>516</v>
      </c>
      <c r="G28" s="4">
        <v>5</v>
      </c>
      <c r="H28" s="7" t="s">
        <v>517</v>
      </c>
      <c r="I28" s="7" t="s">
        <v>518</v>
      </c>
      <c r="J28" s="7" t="s">
        <v>103</v>
      </c>
      <c r="K28" s="7" t="s">
        <v>519</v>
      </c>
      <c r="L28" s="7" t="s">
        <v>103</v>
      </c>
      <c r="M28" s="7" t="s">
        <v>520</v>
      </c>
      <c r="N28" s="7" t="s">
        <v>521</v>
      </c>
      <c r="O28" s="5"/>
      <c r="P28" s="4">
        <v>0</v>
      </c>
      <c r="Q28" s="5" t="str">
        <f>IF(OR(O28="",P28=0),"",O28+CHOOSE(P28,1,3,7,14,30,90,365))</f>
        <v/>
      </c>
    </row>
    <row r="29" spans="1:17" ht="30" customHeight="1" x14ac:dyDescent="0.3">
      <c r="A29" s="2" t="s">
        <v>73</v>
      </c>
      <c r="B29" s="2" t="s">
        <v>522</v>
      </c>
      <c r="C29" s="2" t="s">
        <v>523</v>
      </c>
      <c r="D29" s="2" t="s">
        <v>76</v>
      </c>
      <c r="E29" s="2" t="s">
        <v>524</v>
      </c>
      <c r="F29" s="6" t="s">
        <v>525</v>
      </c>
      <c r="G29" s="2">
        <v>3</v>
      </c>
      <c r="H29" s="6" t="s">
        <v>526</v>
      </c>
      <c r="I29" s="6" t="s">
        <v>527</v>
      </c>
      <c r="J29" s="6" t="s">
        <v>103</v>
      </c>
      <c r="K29" s="6" t="s">
        <v>528</v>
      </c>
      <c r="L29" s="6" t="s">
        <v>103</v>
      </c>
      <c r="M29" s="6" t="s">
        <v>529</v>
      </c>
      <c r="N29" s="6" t="s">
        <v>530</v>
      </c>
      <c r="O29" s="3"/>
      <c r="P29" s="2">
        <v>0</v>
      </c>
      <c r="Q29" s="3" t="str">
        <f>IF(OR(O29="",P29=0),"",O29+CHOOSE(P29,1,3,7,14,30,90,365))</f>
        <v/>
      </c>
    </row>
    <row r="30" spans="1:17" ht="30" customHeight="1" x14ac:dyDescent="0.3">
      <c r="A30" s="4" t="s">
        <v>73</v>
      </c>
      <c r="B30" s="4" t="s">
        <v>531</v>
      </c>
      <c r="C30" s="4" t="s">
        <v>532</v>
      </c>
      <c r="D30" s="4" t="s">
        <v>76</v>
      </c>
      <c r="E30" s="4" t="s">
        <v>506</v>
      </c>
      <c r="F30" s="7" t="s">
        <v>533</v>
      </c>
      <c r="G30" s="4">
        <v>3</v>
      </c>
      <c r="H30" s="7" t="s">
        <v>534</v>
      </c>
      <c r="I30" s="7" t="s">
        <v>535</v>
      </c>
      <c r="J30" s="7" t="s">
        <v>103</v>
      </c>
      <c r="K30" s="7" t="s">
        <v>536</v>
      </c>
      <c r="L30" s="7" t="s">
        <v>103</v>
      </c>
      <c r="M30" s="7" t="s">
        <v>537</v>
      </c>
      <c r="N30" s="7" t="s">
        <v>538</v>
      </c>
      <c r="O30" s="5"/>
      <c r="P30" s="4">
        <v>0</v>
      </c>
      <c r="Q30" s="5" t="str">
        <f>IF(OR(O30="",P30=0),"",O30+CHOOSE(P30,1,3,7,14,30,90,365))</f>
        <v/>
      </c>
    </row>
    <row r="31" spans="1:17" ht="30" customHeight="1" x14ac:dyDescent="0.3">
      <c r="A31" s="2" t="s">
        <v>73</v>
      </c>
      <c r="B31" s="2" t="s">
        <v>539</v>
      </c>
      <c r="C31" s="2" t="s">
        <v>540</v>
      </c>
      <c r="D31" s="2" t="s">
        <v>138</v>
      </c>
      <c r="E31" s="2" t="s">
        <v>541</v>
      </c>
      <c r="F31" s="6" t="s">
        <v>542</v>
      </c>
      <c r="G31" s="2">
        <v>3</v>
      </c>
      <c r="H31" s="6" t="s">
        <v>543</v>
      </c>
      <c r="I31" s="6" t="s">
        <v>544</v>
      </c>
      <c r="J31" s="6" t="s">
        <v>103</v>
      </c>
      <c r="K31" s="6" t="s">
        <v>545</v>
      </c>
      <c r="L31" s="6" t="s">
        <v>103</v>
      </c>
      <c r="M31" s="6" t="s">
        <v>546</v>
      </c>
      <c r="N31" s="6" t="s">
        <v>547</v>
      </c>
      <c r="O31" s="3"/>
      <c r="P31" s="2">
        <v>0</v>
      </c>
      <c r="Q31" s="3" t="str">
        <f>IF(OR(O31="",P31=0),"",O31+CHOOSE(P31,1,3,7,14,30,90,365))</f>
        <v/>
      </c>
    </row>
    <row r="32" spans="1:17" ht="30" customHeight="1" x14ac:dyDescent="0.3">
      <c r="A32" s="18" t="s">
        <v>548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</row>
    <row r="33" spans="1:17" ht="30" customHeight="1" x14ac:dyDescent="0.3">
      <c r="A33" s="4" t="s">
        <v>73</v>
      </c>
      <c r="B33" s="4" t="s">
        <v>549</v>
      </c>
      <c r="C33" s="4" t="s">
        <v>550</v>
      </c>
      <c r="D33" s="4" t="s">
        <v>76</v>
      </c>
      <c r="E33" s="4" t="s">
        <v>551</v>
      </c>
      <c r="F33" s="7" t="s">
        <v>552</v>
      </c>
      <c r="G33" s="4">
        <v>4</v>
      </c>
      <c r="H33" s="7" t="s">
        <v>553</v>
      </c>
      <c r="I33" s="7" t="s">
        <v>554</v>
      </c>
      <c r="J33" s="7" t="s">
        <v>103</v>
      </c>
      <c r="K33" s="7" t="s">
        <v>555</v>
      </c>
      <c r="L33" s="7" t="s">
        <v>103</v>
      </c>
      <c r="M33" s="7" t="s">
        <v>556</v>
      </c>
      <c r="N33" s="7" t="s">
        <v>557</v>
      </c>
      <c r="O33" s="5"/>
      <c r="P33" s="4">
        <v>0</v>
      </c>
      <c r="Q33" s="5" t="str">
        <f t="shared" ref="Q33:Q38" si="2">IF(OR(O33="",P33=0),"",O33+CHOOSE(P33,1,3,7,14,30,90,365))</f>
        <v/>
      </c>
    </row>
    <row r="34" spans="1:17" ht="30" customHeight="1" x14ac:dyDescent="0.3">
      <c r="A34" s="2" t="s">
        <v>73</v>
      </c>
      <c r="B34" s="2" t="s">
        <v>558</v>
      </c>
      <c r="C34" s="2" t="s">
        <v>559</v>
      </c>
      <c r="D34" s="2" t="s">
        <v>76</v>
      </c>
      <c r="E34" s="2" t="s">
        <v>560</v>
      </c>
      <c r="F34" s="6" t="s">
        <v>561</v>
      </c>
      <c r="G34" s="2">
        <v>2</v>
      </c>
      <c r="H34" s="6" t="s">
        <v>562</v>
      </c>
      <c r="I34" s="6" t="s">
        <v>563</v>
      </c>
      <c r="J34" s="6" t="s">
        <v>564</v>
      </c>
      <c r="K34" s="6" t="s">
        <v>565</v>
      </c>
      <c r="L34" s="6" t="s">
        <v>566</v>
      </c>
      <c r="M34" s="6" t="s">
        <v>567</v>
      </c>
      <c r="N34" s="6" t="s">
        <v>568</v>
      </c>
      <c r="O34" s="3"/>
      <c r="P34" s="2">
        <v>0</v>
      </c>
      <c r="Q34" s="3" t="str">
        <f t="shared" si="2"/>
        <v/>
      </c>
    </row>
    <row r="35" spans="1:17" ht="30" customHeight="1" x14ac:dyDescent="0.3">
      <c r="A35" s="4" t="s">
        <v>73</v>
      </c>
      <c r="B35" s="4" t="s">
        <v>569</v>
      </c>
      <c r="C35" s="4" t="s">
        <v>570</v>
      </c>
      <c r="D35" s="4" t="s">
        <v>138</v>
      </c>
      <c r="E35" s="4" t="s">
        <v>571</v>
      </c>
      <c r="F35" s="7" t="s">
        <v>572</v>
      </c>
      <c r="G35" s="4">
        <v>3</v>
      </c>
      <c r="H35" s="7" t="s">
        <v>573</v>
      </c>
      <c r="I35" s="7" t="s">
        <v>574</v>
      </c>
      <c r="J35" s="7" t="s">
        <v>575</v>
      </c>
      <c r="K35" s="7" t="s">
        <v>576</v>
      </c>
      <c r="L35" s="7" t="s">
        <v>103</v>
      </c>
      <c r="M35" s="7" t="s">
        <v>577</v>
      </c>
      <c r="N35" s="7" t="s">
        <v>578</v>
      </c>
      <c r="O35" s="5"/>
      <c r="P35" s="4">
        <v>0</v>
      </c>
      <c r="Q35" s="5" t="str">
        <f t="shared" si="2"/>
        <v/>
      </c>
    </row>
    <row r="36" spans="1:17" ht="30" customHeight="1" x14ac:dyDescent="0.3">
      <c r="A36" s="2" t="s">
        <v>73</v>
      </c>
      <c r="B36" s="2" t="s">
        <v>579</v>
      </c>
      <c r="C36" s="2" t="s">
        <v>580</v>
      </c>
      <c r="D36" s="2" t="s">
        <v>76</v>
      </c>
      <c r="E36" s="2" t="s">
        <v>581</v>
      </c>
      <c r="F36" s="6" t="s">
        <v>582</v>
      </c>
      <c r="G36" s="2">
        <v>2</v>
      </c>
      <c r="H36" s="6" t="s">
        <v>583</v>
      </c>
      <c r="I36" s="6" t="s">
        <v>584</v>
      </c>
      <c r="J36" s="6" t="s">
        <v>103</v>
      </c>
      <c r="K36" s="6" t="s">
        <v>585</v>
      </c>
      <c r="L36" s="6" t="s">
        <v>103</v>
      </c>
      <c r="M36" s="6" t="s">
        <v>586</v>
      </c>
      <c r="N36" s="6" t="s">
        <v>587</v>
      </c>
      <c r="O36" s="3"/>
      <c r="P36" s="2">
        <v>0</v>
      </c>
      <c r="Q36" s="3" t="str">
        <f t="shared" si="2"/>
        <v/>
      </c>
    </row>
    <row r="37" spans="1:17" ht="30" customHeight="1" x14ac:dyDescent="0.3">
      <c r="A37" s="4" t="s">
        <v>73</v>
      </c>
      <c r="B37" s="4" t="s">
        <v>588</v>
      </c>
      <c r="C37" s="4" t="s">
        <v>589</v>
      </c>
      <c r="D37" s="4" t="s">
        <v>76</v>
      </c>
      <c r="E37" s="4" t="s">
        <v>590</v>
      </c>
      <c r="F37" s="7" t="s">
        <v>591</v>
      </c>
      <c r="G37" s="4">
        <v>2</v>
      </c>
      <c r="H37" s="7" t="s">
        <v>592</v>
      </c>
      <c r="I37" s="7" t="s">
        <v>593</v>
      </c>
      <c r="J37" s="7" t="s">
        <v>103</v>
      </c>
      <c r="K37" s="7" t="s">
        <v>594</v>
      </c>
      <c r="L37" s="7" t="s">
        <v>103</v>
      </c>
      <c r="M37" s="7" t="s">
        <v>595</v>
      </c>
      <c r="N37" s="7" t="s">
        <v>596</v>
      </c>
      <c r="O37" s="5"/>
      <c r="P37" s="4">
        <v>0</v>
      </c>
      <c r="Q37" s="5" t="str">
        <f t="shared" si="2"/>
        <v/>
      </c>
    </row>
    <row r="38" spans="1:17" ht="30" customHeight="1" x14ac:dyDescent="0.3">
      <c r="A38" s="2" t="s">
        <v>73</v>
      </c>
      <c r="B38" s="2" t="s">
        <v>597</v>
      </c>
      <c r="C38" s="2" t="s">
        <v>598</v>
      </c>
      <c r="D38" s="2" t="s">
        <v>138</v>
      </c>
      <c r="E38" s="2" t="s">
        <v>588</v>
      </c>
      <c r="F38" s="6" t="s">
        <v>599</v>
      </c>
      <c r="G38" s="2">
        <v>3</v>
      </c>
      <c r="H38" s="6" t="s">
        <v>600</v>
      </c>
      <c r="I38" s="6" t="s">
        <v>601</v>
      </c>
      <c r="J38" s="6" t="s">
        <v>103</v>
      </c>
      <c r="K38" s="6" t="s">
        <v>602</v>
      </c>
      <c r="L38" s="6" t="s">
        <v>103</v>
      </c>
      <c r="M38" s="6" t="s">
        <v>603</v>
      </c>
      <c r="N38" s="6" t="s">
        <v>604</v>
      </c>
      <c r="O38" s="3"/>
      <c r="P38" s="2">
        <v>0</v>
      </c>
      <c r="Q38" s="3" t="str">
        <f t="shared" si="2"/>
        <v/>
      </c>
    </row>
  </sheetData>
  <autoFilter ref="A4:Q4" xr:uid="{00000000-0009-0000-0000-000005000000}"/>
  <mergeCells count="8">
    <mergeCell ref="A20:Q20"/>
    <mergeCell ref="A26:Q26"/>
    <mergeCell ref="A32:Q32"/>
    <mergeCell ref="A1:Q1"/>
    <mergeCell ref="A2:Q2"/>
    <mergeCell ref="A3:P3"/>
    <mergeCell ref="A5:Q5"/>
    <mergeCell ref="A13:Q13"/>
  </mergeCells>
  <conditionalFormatting sqref="A6:A12">
    <cfRule type="expression" dxfId="421" priority="3">
      <formula>$A6="Completed"</formula>
    </cfRule>
    <cfRule type="expression" dxfId="420" priority="4">
      <formula>$A6="In Progress"</formula>
    </cfRule>
    <cfRule type="expression" dxfId="419" priority="5">
      <formula>$A6="Not Started"</formula>
    </cfRule>
    <cfRule type="expression" dxfId="418" priority="6">
      <formula>$A6="Research"</formula>
    </cfRule>
    <cfRule type="expression" dxfId="417" priority="7">
      <formula>$A6="Project"</formula>
    </cfRule>
    <cfRule type="expression" dxfId="416" priority="8">
      <formula>$A6="Optional"</formula>
    </cfRule>
  </conditionalFormatting>
  <conditionalFormatting sqref="A14:A19">
    <cfRule type="expression" dxfId="415" priority="11">
      <formula>$A14="Completed"</formula>
    </cfRule>
    <cfRule type="expression" dxfId="414" priority="12">
      <formula>$A14="In Progress"</formula>
    </cfRule>
    <cfRule type="expression" dxfId="413" priority="13">
      <formula>$A14="Not Started"</formula>
    </cfRule>
    <cfRule type="expression" dxfId="412" priority="14">
      <formula>$A14="Research"</formula>
    </cfRule>
    <cfRule type="expression" dxfId="411" priority="15">
      <formula>$A14="Project"</formula>
    </cfRule>
    <cfRule type="expression" dxfId="410" priority="16">
      <formula>$A14="Optional"</formula>
    </cfRule>
  </conditionalFormatting>
  <conditionalFormatting sqref="A21:A25">
    <cfRule type="expression" dxfId="409" priority="22">
      <formula>$A21="Research"</formula>
    </cfRule>
    <cfRule type="expression" dxfId="408" priority="24">
      <formula>$A21="Optional"</formula>
    </cfRule>
    <cfRule type="expression" dxfId="407" priority="23">
      <formula>$A21="Project"</formula>
    </cfRule>
    <cfRule type="expression" dxfId="406" priority="19">
      <formula>$A21="Completed"</formula>
    </cfRule>
    <cfRule type="expression" dxfId="405" priority="20">
      <formula>$A21="In Progress"</formula>
    </cfRule>
    <cfRule type="expression" dxfId="404" priority="21">
      <formula>$A21="Not Started"</formula>
    </cfRule>
  </conditionalFormatting>
  <conditionalFormatting sqref="A27:A31">
    <cfRule type="expression" dxfId="403" priority="28">
      <formula>$A27="In Progress"</formula>
    </cfRule>
    <cfRule type="expression" dxfId="402" priority="27">
      <formula>$A27="Completed"</formula>
    </cfRule>
    <cfRule type="expression" dxfId="401" priority="29">
      <formula>$A27="Not Started"</formula>
    </cfRule>
    <cfRule type="expression" dxfId="400" priority="30">
      <formula>$A27="Research"</formula>
    </cfRule>
    <cfRule type="expression" dxfId="399" priority="31">
      <formula>$A27="Project"</formula>
    </cfRule>
    <cfRule type="expression" dxfId="398" priority="32">
      <formula>$A27="Optional"</formula>
    </cfRule>
  </conditionalFormatting>
  <conditionalFormatting sqref="A33:A38">
    <cfRule type="expression" dxfId="397" priority="35">
      <formula>$A33="Completed"</formula>
    </cfRule>
    <cfRule type="expression" dxfId="396" priority="36">
      <formula>$A33="In Progress"</formula>
    </cfRule>
    <cfRule type="expression" dxfId="395" priority="37">
      <formula>$A33="Not Started"</formula>
    </cfRule>
    <cfRule type="expression" dxfId="394" priority="38">
      <formula>$A33="Research"</formula>
    </cfRule>
    <cfRule type="expression" dxfId="393" priority="39">
      <formula>$A33="Project"</formula>
    </cfRule>
    <cfRule type="expression" dxfId="392" priority="40">
      <formula>$A33="Optional"</formula>
    </cfRule>
  </conditionalFormatting>
  <conditionalFormatting sqref="Q3">
    <cfRule type="dataBar" priority="2">
      <dataBar>
        <cfvo type="num" val="0"/>
        <cfvo type="num" val="100"/>
        <color rgb="FF8FC1E9"/>
      </dataBar>
      <extLst>
        <ext xmlns:x14="http://schemas.microsoft.com/office/spreadsheetml/2009/9/main" uri="{B025F937-C7B1-47D3-B67F-A62EFF666E3E}">
          <x14:id>{6B6A504F-1640-42FD-A95A-19D580F5A53D}</x14:id>
        </ext>
      </extLst>
    </cfRule>
  </conditionalFormatting>
  <conditionalFormatting sqref="Q6:Q12">
    <cfRule type="expression" dxfId="391" priority="10">
      <formula>AND($Q6&lt;&gt;"",$Q6&gt;=TODAY(),$Q6&lt;=TODAY()+3)</formula>
    </cfRule>
    <cfRule type="expression" dxfId="390" priority="9">
      <formula>AND($Q6&lt;&gt;"",$Q6&lt;TODAY())</formula>
    </cfRule>
  </conditionalFormatting>
  <conditionalFormatting sqref="Q14:Q19">
    <cfRule type="expression" dxfId="389" priority="18">
      <formula>AND($Q14&lt;&gt;"",$Q14&gt;=TODAY(),$Q14&lt;=TODAY()+3)</formula>
    </cfRule>
    <cfRule type="expression" dxfId="388" priority="17">
      <formula>AND($Q14&lt;&gt;"",$Q14&lt;TODAY())</formula>
    </cfRule>
  </conditionalFormatting>
  <conditionalFormatting sqref="Q21:Q25">
    <cfRule type="expression" dxfId="387" priority="25">
      <formula>AND($Q21&lt;&gt;"",$Q21&lt;TODAY())</formula>
    </cfRule>
    <cfRule type="expression" dxfId="386" priority="26">
      <formula>AND($Q21&lt;&gt;"",$Q21&gt;=TODAY(),$Q21&lt;=TODAY()+3)</formula>
    </cfRule>
  </conditionalFormatting>
  <conditionalFormatting sqref="Q27:Q31">
    <cfRule type="expression" dxfId="385" priority="33">
      <formula>AND($Q27&lt;&gt;"",$Q27&lt;TODAY())</formula>
    </cfRule>
    <cfRule type="expression" dxfId="384" priority="34">
      <formula>AND($Q27&lt;&gt;"",$Q27&gt;=TODAY(),$Q27&lt;=TODAY()+3)</formula>
    </cfRule>
  </conditionalFormatting>
  <conditionalFormatting sqref="Q33:Q38">
    <cfRule type="expression" dxfId="383" priority="41">
      <formula>AND($Q33&lt;&gt;"",$Q33&lt;TODAY())</formula>
    </cfRule>
    <cfRule type="expression" dxfId="382" priority="42">
      <formula>AND($Q33&lt;&gt;"",$Q33&gt;=TODAY(),$Q33&lt;=TODAY()+3)</formula>
    </cfRule>
  </conditionalFormatting>
  <dataValidations count="3">
    <dataValidation type="list" allowBlank="1" sqref="P6:P12 P14:P19 P21:P25 P27:P31 P33:P38" xr:uid="{00000000-0002-0000-0500-000000000000}">
      <formula1>"0,1,2,3,4,5,6,7"</formula1>
      <formula2>0</formula2>
    </dataValidation>
    <dataValidation type="list" allowBlank="1" sqref="A6:A12 A33:A38 A27:A31 A21:A25 A14:A19" xr:uid="{00000000-0002-0000-0500-000001000000}">
      <formula1>"Completed,In Progress,Not Started,Research,Project,Optional"</formula1>
      <formula2>0</formula2>
    </dataValidation>
    <dataValidation type="list" allowBlank="1" sqref="D6:D12 D33:D38 D27:D31 D21:D25 D14:D19" xr:uid="{00000000-0002-0000-0500-000002000000}">
      <formula1>"Intermediate,Advanced,Expert,Research-Level"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B6A504F-1640-42FD-A95A-19D580F5A53D}">
            <x14:dataBar axisPosition="none">
              <x14:cfvo type="num">
                <xm:f>0</xm:f>
              </x14:cfvo>
              <x14:cfvo type="num">
                <xm:f>100</xm:f>
              </x14:cfvo>
              <x14:negativeFillColor rgb="FF8FC1E9"/>
            </x14:dataBar>
          </x14:cfRule>
          <xm:sqref>Q3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33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22" customWidth="1"/>
    <col min="3" max="3" width="30" customWidth="1"/>
    <col min="4" max="4" width="12" customWidth="1"/>
    <col min="5" max="5" width="22" customWidth="1"/>
    <col min="6" max="6" width="34" customWidth="1"/>
    <col min="7" max="7" width="9" customWidth="1"/>
    <col min="8" max="8" width="26" customWidth="1"/>
    <col min="9" max="9" width="30" customWidth="1"/>
    <col min="10" max="10" width="24" customWidth="1"/>
    <col min="11" max="12" width="30" customWidth="1"/>
    <col min="13" max="13" width="40" customWidth="1"/>
    <col min="14" max="14" width="30" customWidth="1"/>
    <col min="15" max="15" width="13" customWidth="1"/>
    <col min="16" max="16" width="11" customWidth="1"/>
    <col min="17" max="17" width="13" customWidth="1"/>
  </cols>
  <sheetData>
    <row r="1" spans="1:17" ht="33.75" customHeight="1" x14ac:dyDescent="0.3">
      <c r="A1" s="19" t="s">
        <v>46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ht="15" customHeight="1" x14ac:dyDescent="0.3">
      <c r="A2" s="20" t="s">
        <v>605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ht="19.5" customHeight="1" x14ac:dyDescent="0.3">
      <c r="A3" s="21" t="s">
        <v>606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12">
        <f>ROUND(COUNTIF(A5:A33,"Completed")/SUMPRODUCT(COUNTIF(A5:A33,{"Completed","In Progress","Not Started","Research","Project","Optional"}))*100,0)</f>
        <v>0</v>
      </c>
    </row>
    <row r="4" spans="1:17" ht="31.5" customHeight="1" x14ac:dyDescent="0.3">
      <c r="A4" s="1" t="s">
        <v>58</v>
      </c>
      <c r="B4" s="1" t="s">
        <v>6</v>
      </c>
      <c r="C4" s="1" t="s">
        <v>7</v>
      </c>
      <c r="D4" s="1" t="s">
        <v>59</v>
      </c>
      <c r="E4" s="1" t="s">
        <v>60</v>
      </c>
      <c r="F4" s="1" t="s">
        <v>61</v>
      </c>
      <c r="G4" s="1" t="s">
        <v>62</v>
      </c>
      <c r="H4" s="1" t="s">
        <v>63</v>
      </c>
      <c r="I4" s="1" t="s">
        <v>64</v>
      </c>
      <c r="J4" s="1" t="s">
        <v>65</v>
      </c>
      <c r="K4" s="1" t="s">
        <v>66</v>
      </c>
      <c r="L4" s="1" t="s">
        <v>67</v>
      </c>
      <c r="M4" s="1" t="s">
        <v>68</v>
      </c>
      <c r="N4" s="1" t="s">
        <v>11</v>
      </c>
      <c r="O4" s="1" t="s">
        <v>69</v>
      </c>
      <c r="P4" s="1" t="s">
        <v>70</v>
      </c>
      <c r="Q4" s="1" t="s">
        <v>71</v>
      </c>
    </row>
    <row r="5" spans="1:17" ht="30" customHeight="1" x14ac:dyDescent="0.3">
      <c r="A5" s="18" t="s">
        <v>607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3">
      <c r="A6" s="2" t="s">
        <v>73</v>
      </c>
      <c r="B6" s="2" t="s">
        <v>608</v>
      </c>
      <c r="C6" s="2" t="s">
        <v>609</v>
      </c>
      <c r="D6" s="2" t="s">
        <v>76</v>
      </c>
      <c r="E6" s="2" t="s">
        <v>610</v>
      </c>
      <c r="F6" s="6" t="s">
        <v>611</v>
      </c>
      <c r="G6" s="2">
        <v>3</v>
      </c>
      <c r="H6" s="6" t="s">
        <v>612</v>
      </c>
      <c r="I6" s="6" t="s">
        <v>613</v>
      </c>
      <c r="J6" s="6" t="s">
        <v>614</v>
      </c>
      <c r="K6" s="6" t="s">
        <v>615</v>
      </c>
      <c r="L6" s="6" t="s">
        <v>103</v>
      </c>
      <c r="M6" s="6" t="s">
        <v>616</v>
      </c>
      <c r="N6" s="6" t="s">
        <v>617</v>
      </c>
      <c r="O6" s="3"/>
      <c r="P6" s="2">
        <v>0</v>
      </c>
      <c r="Q6" s="3" t="str">
        <f t="shared" ref="Q6:Q14" si="0">IF(OR(O6="",P6=0),"",O6+CHOOSE(P6,1,3,7,14,30,90,365))</f>
        <v/>
      </c>
    </row>
    <row r="7" spans="1:17" ht="30" customHeight="1" x14ac:dyDescent="0.3">
      <c r="A7" s="4" t="s">
        <v>73</v>
      </c>
      <c r="B7" s="4" t="s">
        <v>618</v>
      </c>
      <c r="C7" s="4" t="s">
        <v>619</v>
      </c>
      <c r="D7" s="4" t="s">
        <v>76</v>
      </c>
      <c r="E7" s="4" t="s">
        <v>608</v>
      </c>
      <c r="F7" s="7" t="s">
        <v>620</v>
      </c>
      <c r="G7" s="4">
        <v>3</v>
      </c>
      <c r="H7" s="7" t="s">
        <v>621</v>
      </c>
      <c r="I7" s="7" t="s">
        <v>622</v>
      </c>
      <c r="J7" s="7" t="s">
        <v>623</v>
      </c>
      <c r="K7" s="7" t="s">
        <v>624</v>
      </c>
      <c r="L7" s="7" t="s">
        <v>103</v>
      </c>
      <c r="M7" s="7" t="s">
        <v>625</v>
      </c>
      <c r="N7" s="7" t="s">
        <v>626</v>
      </c>
      <c r="O7" s="5"/>
      <c r="P7" s="4">
        <v>0</v>
      </c>
      <c r="Q7" s="5" t="str">
        <f t="shared" si="0"/>
        <v/>
      </c>
    </row>
    <row r="8" spans="1:17" ht="30" customHeight="1" x14ac:dyDescent="0.3">
      <c r="A8" s="2" t="s">
        <v>73</v>
      </c>
      <c r="B8" s="2" t="s">
        <v>627</v>
      </c>
      <c r="C8" s="2" t="s">
        <v>628</v>
      </c>
      <c r="D8" s="2" t="s">
        <v>76</v>
      </c>
      <c r="E8" s="2" t="s">
        <v>608</v>
      </c>
      <c r="F8" s="6" t="s">
        <v>629</v>
      </c>
      <c r="G8" s="2">
        <v>3</v>
      </c>
      <c r="H8" s="6" t="s">
        <v>630</v>
      </c>
      <c r="I8" s="6" t="s">
        <v>631</v>
      </c>
      <c r="J8" s="6" t="s">
        <v>103</v>
      </c>
      <c r="K8" s="6" t="s">
        <v>632</v>
      </c>
      <c r="L8" s="6" t="s">
        <v>103</v>
      </c>
      <c r="M8" s="6" t="s">
        <v>633</v>
      </c>
      <c r="N8" s="6" t="s">
        <v>634</v>
      </c>
      <c r="O8" s="3"/>
      <c r="P8" s="2">
        <v>0</v>
      </c>
      <c r="Q8" s="3" t="str">
        <f t="shared" si="0"/>
        <v/>
      </c>
    </row>
    <row r="9" spans="1:17" ht="30" customHeight="1" x14ac:dyDescent="0.3">
      <c r="A9" s="4" t="s">
        <v>73</v>
      </c>
      <c r="B9" s="4" t="s">
        <v>635</v>
      </c>
      <c r="C9" s="4" t="s">
        <v>636</v>
      </c>
      <c r="D9" s="4" t="s">
        <v>76</v>
      </c>
      <c r="E9" s="4" t="s">
        <v>627</v>
      </c>
      <c r="F9" s="7" t="s">
        <v>637</v>
      </c>
      <c r="G9" s="4">
        <v>4</v>
      </c>
      <c r="H9" s="7" t="s">
        <v>638</v>
      </c>
      <c r="I9" s="7" t="s">
        <v>639</v>
      </c>
      <c r="J9" s="7" t="s">
        <v>103</v>
      </c>
      <c r="K9" s="7" t="s">
        <v>640</v>
      </c>
      <c r="L9" s="7" t="s">
        <v>103</v>
      </c>
      <c r="M9" s="7" t="s">
        <v>641</v>
      </c>
      <c r="N9" s="7" t="s">
        <v>642</v>
      </c>
      <c r="O9" s="5"/>
      <c r="P9" s="4">
        <v>0</v>
      </c>
      <c r="Q9" s="5" t="str">
        <f t="shared" si="0"/>
        <v/>
      </c>
    </row>
    <row r="10" spans="1:17" ht="30" customHeight="1" x14ac:dyDescent="0.3">
      <c r="A10" s="2" t="s">
        <v>73</v>
      </c>
      <c r="B10" s="2" t="s">
        <v>643</v>
      </c>
      <c r="C10" s="2" t="s">
        <v>644</v>
      </c>
      <c r="D10" s="2" t="s">
        <v>76</v>
      </c>
      <c r="E10" s="2" t="s">
        <v>635</v>
      </c>
      <c r="F10" s="6" t="s">
        <v>645</v>
      </c>
      <c r="G10" s="2">
        <v>4</v>
      </c>
      <c r="H10" s="6" t="s">
        <v>646</v>
      </c>
      <c r="I10" s="6" t="s">
        <v>647</v>
      </c>
      <c r="J10" s="6" t="s">
        <v>103</v>
      </c>
      <c r="K10" s="6" t="s">
        <v>648</v>
      </c>
      <c r="L10" s="6" t="s">
        <v>103</v>
      </c>
      <c r="M10" s="6" t="s">
        <v>649</v>
      </c>
      <c r="N10" s="6" t="s">
        <v>650</v>
      </c>
      <c r="O10" s="3"/>
      <c r="P10" s="2">
        <v>0</v>
      </c>
      <c r="Q10" s="3" t="str">
        <f t="shared" si="0"/>
        <v/>
      </c>
    </row>
    <row r="11" spans="1:17" ht="30" customHeight="1" x14ac:dyDescent="0.3">
      <c r="A11" s="4" t="s">
        <v>73</v>
      </c>
      <c r="B11" s="4" t="s">
        <v>651</v>
      </c>
      <c r="C11" s="4" t="s">
        <v>652</v>
      </c>
      <c r="D11" s="4" t="s">
        <v>76</v>
      </c>
      <c r="E11" s="4" t="s">
        <v>627</v>
      </c>
      <c r="F11" s="7" t="s">
        <v>653</v>
      </c>
      <c r="G11" s="4">
        <v>2</v>
      </c>
      <c r="H11" s="7" t="s">
        <v>654</v>
      </c>
      <c r="I11" s="7" t="s">
        <v>655</v>
      </c>
      <c r="J11" s="7" t="s">
        <v>103</v>
      </c>
      <c r="K11" s="7" t="s">
        <v>103</v>
      </c>
      <c r="L11" s="7" t="s">
        <v>103</v>
      </c>
      <c r="M11" s="7" t="s">
        <v>656</v>
      </c>
      <c r="N11" s="7" t="s">
        <v>657</v>
      </c>
      <c r="O11" s="5"/>
      <c r="P11" s="4">
        <v>0</v>
      </c>
      <c r="Q11" s="5" t="str">
        <f t="shared" si="0"/>
        <v/>
      </c>
    </row>
    <row r="12" spans="1:17" ht="30" customHeight="1" x14ac:dyDescent="0.3">
      <c r="A12" s="2" t="s">
        <v>73</v>
      </c>
      <c r="B12" s="2" t="s">
        <v>658</v>
      </c>
      <c r="C12" s="2" t="s">
        <v>659</v>
      </c>
      <c r="D12" s="2" t="s">
        <v>76</v>
      </c>
      <c r="E12" s="2" t="s">
        <v>643</v>
      </c>
      <c r="F12" s="6" t="s">
        <v>660</v>
      </c>
      <c r="G12" s="2">
        <v>2</v>
      </c>
      <c r="H12" s="6" t="s">
        <v>661</v>
      </c>
      <c r="I12" s="6" t="s">
        <v>662</v>
      </c>
      <c r="J12" s="6" t="s">
        <v>103</v>
      </c>
      <c r="K12" s="6" t="s">
        <v>663</v>
      </c>
      <c r="L12" s="6" t="s">
        <v>103</v>
      </c>
      <c r="M12" s="6" t="s">
        <v>664</v>
      </c>
      <c r="N12" s="6" t="s">
        <v>665</v>
      </c>
      <c r="O12" s="3"/>
      <c r="P12" s="2">
        <v>0</v>
      </c>
      <c r="Q12" s="3" t="str">
        <f t="shared" si="0"/>
        <v/>
      </c>
    </row>
    <row r="13" spans="1:17" ht="30" customHeight="1" x14ac:dyDescent="0.3">
      <c r="A13" s="4" t="s">
        <v>73</v>
      </c>
      <c r="B13" s="4" t="s">
        <v>666</v>
      </c>
      <c r="C13" s="4" t="s">
        <v>667</v>
      </c>
      <c r="D13" s="4" t="s">
        <v>76</v>
      </c>
      <c r="E13" s="4" t="s">
        <v>658</v>
      </c>
      <c r="F13" s="7" t="s">
        <v>668</v>
      </c>
      <c r="G13" s="4">
        <v>2</v>
      </c>
      <c r="H13" s="7" t="s">
        <v>669</v>
      </c>
      <c r="I13" s="7" t="s">
        <v>670</v>
      </c>
      <c r="J13" s="7" t="s">
        <v>671</v>
      </c>
      <c r="K13" s="7" t="s">
        <v>672</v>
      </c>
      <c r="L13" s="7" t="s">
        <v>103</v>
      </c>
      <c r="M13" s="7" t="s">
        <v>673</v>
      </c>
      <c r="N13" s="7" t="s">
        <v>674</v>
      </c>
      <c r="O13" s="5"/>
      <c r="P13" s="4">
        <v>0</v>
      </c>
      <c r="Q13" s="5" t="str">
        <f t="shared" si="0"/>
        <v/>
      </c>
    </row>
    <row r="14" spans="1:17" ht="30" customHeight="1" x14ac:dyDescent="0.3">
      <c r="A14" s="2" t="s">
        <v>73</v>
      </c>
      <c r="B14" s="2" t="s">
        <v>675</v>
      </c>
      <c r="C14" s="2" t="s">
        <v>676</v>
      </c>
      <c r="D14" s="2" t="s">
        <v>138</v>
      </c>
      <c r="E14" s="2" t="s">
        <v>627</v>
      </c>
      <c r="F14" s="6" t="s">
        <v>677</v>
      </c>
      <c r="G14" s="2">
        <v>3</v>
      </c>
      <c r="H14" s="6" t="s">
        <v>678</v>
      </c>
      <c r="I14" s="6" t="s">
        <v>679</v>
      </c>
      <c r="J14" s="6" t="s">
        <v>680</v>
      </c>
      <c r="K14" s="6" t="s">
        <v>681</v>
      </c>
      <c r="L14" s="6" t="s">
        <v>103</v>
      </c>
      <c r="M14" s="6" t="s">
        <v>682</v>
      </c>
      <c r="N14" s="6" t="s">
        <v>683</v>
      </c>
      <c r="O14" s="3"/>
      <c r="P14" s="2">
        <v>0</v>
      </c>
      <c r="Q14" s="3" t="str">
        <f t="shared" si="0"/>
        <v/>
      </c>
    </row>
    <row r="15" spans="1:17" ht="30" customHeight="1" x14ac:dyDescent="0.3">
      <c r="A15" s="18" t="s">
        <v>684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3">
      <c r="A16" s="4" t="s">
        <v>73</v>
      </c>
      <c r="B16" s="4" t="s">
        <v>685</v>
      </c>
      <c r="C16" s="4" t="s">
        <v>686</v>
      </c>
      <c r="D16" s="4" t="s">
        <v>76</v>
      </c>
      <c r="E16" s="4" t="s">
        <v>687</v>
      </c>
      <c r="F16" s="7" t="s">
        <v>688</v>
      </c>
      <c r="G16" s="4">
        <v>2</v>
      </c>
      <c r="H16" s="7" t="s">
        <v>689</v>
      </c>
      <c r="I16" s="7" t="s">
        <v>690</v>
      </c>
      <c r="J16" s="7" t="s">
        <v>103</v>
      </c>
      <c r="K16" s="7" t="s">
        <v>691</v>
      </c>
      <c r="L16" s="7" t="s">
        <v>103</v>
      </c>
      <c r="M16" s="7" t="s">
        <v>692</v>
      </c>
      <c r="N16" s="7" t="s">
        <v>693</v>
      </c>
      <c r="O16" s="5"/>
      <c r="P16" s="4">
        <v>0</v>
      </c>
      <c r="Q16" s="5" t="str">
        <f t="shared" ref="Q16:Q21" si="1">IF(OR(O16="",P16=0),"",O16+CHOOSE(P16,1,3,7,14,30,90,365))</f>
        <v/>
      </c>
    </row>
    <row r="17" spans="1:17" ht="30" customHeight="1" x14ac:dyDescent="0.3">
      <c r="A17" s="2" t="s">
        <v>73</v>
      </c>
      <c r="B17" s="2" t="s">
        <v>694</v>
      </c>
      <c r="C17" s="2" t="s">
        <v>695</v>
      </c>
      <c r="D17" s="2" t="s">
        <v>76</v>
      </c>
      <c r="E17" s="2" t="s">
        <v>685</v>
      </c>
      <c r="F17" s="6" t="s">
        <v>696</v>
      </c>
      <c r="G17" s="2">
        <v>3</v>
      </c>
      <c r="H17" s="6" t="s">
        <v>697</v>
      </c>
      <c r="I17" s="6" t="s">
        <v>698</v>
      </c>
      <c r="J17" s="6" t="s">
        <v>699</v>
      </c>
      <c r="K17" s="6" t="s">
        <v>700</v>
      </c>
      <c r="L17" s="6" t="s">
        <v>103</v>
      </c>
      <c r="M17" s="6" t="s">
        <v>701</v>
      </c>
      <c r="N17" s="6" t="s">
        <v>702</v>
      </c>
      <c r="O17" s="3"/>
      <c r="P17" s="2">
        <v>0</v>
      </c>
      <c r="Q17" s="3" t="str">
        <f t="shared" si="1"/>
        <v/>
      </c>
    </row>
    <row r="18" spans="1:17" ht="30" customHeight="1" x14ac:dyDescent="0.3">
      <c r="A18" s="4" t="s">
        <v>73</v>
      </c>
      <c r="B18" s="4" t="s">
        <v>703</v>
      </c>
      <c r="C18" s="4" t="s">
        <v>704</v>
      </c>
      <c r="D18" s="4" t="s">
        <v>76</v>
      </c>
      <c r="E18" s="4" t="s">
        <v>705</v>
      </c>
      <c r="F18" s="7" t="s">
        <v>706</v>
      </c>
      <c r="G18" s="4">
        <v>2</v>
      </c>
      <c r="H18" s="7" t="s">
        <v>707</v>
      </c>
      <c r="I18" s="7" t="s">
        <v>708</v>
      </c>
      <c r="J18" s="7" t="s">
        <v>103</v>
      </c>
      <c r="K18" s="7" t="s">
        <v>709</v>
      </c>
      <c r="L18" s="7" t="s">
        <v>103</v>
      </c>
      <c r="M18" s="7" t="s">
        <v>710</v>
      </c>
      <c r="N18" s="7" t="s">
        <v>711</v>
      </c>
      <c r="O18" s="5"/>
      <c r="P18" s="4">
        <v>0</v>
      </c>
      <c r="Q18" s="5" t="str">
        <f t="shared" si="1"/>
        <v/>
      </c>
    </row>
    <row r="19" spans="1:17" ht="30" customHeight="1" x14ac:dyDescent="0.3">
      <c r="A19" s="2" t="s">
        <v>73</v>
      </c>
      <c r="B19" s="2" t="s">
        <v>712</v>
      </c>
      <c r="C19" s="2" t="s">
        <v>713</v>
      </c>
      <c r="D19" s="2" t="s">
        <v>76</v>
      </c>
      <c r="E19" s="2" t="s">
        <v>703</v>
      </c>
      <c r="F19" s="6" t="s">
        <v>714</v>
      </c>
      <c r="G19" s="2">
        <v>2</v>
      </c>
      <c r="H19" s="6" t="s">
        <v>715</v>
      </c>
      <c r="I19" s="6" t="s">
        <v>708</v>
      </c>
      <c r="J19" s="6" t="s">
        <v>716</v>
      </c>
      <c r="K19" s="6" t="s">
        <v>717</v>
      </c>
      <c r="L19" s="6" t="s">
        <v>103</v>
      </c>
      <c r="M19" s="6" t="s">
        <v>718</v>
      </c>
      <c r="N19" s="6" t="s">
        <v>719</v>
      </c>
      <c r="O19" s="3"/>
      <c r="P19" s="2">
        <v>0</v>
      </c>
      <c r="Q19" s="3" t="str">
        <f t="shared" si="1"/>
        <v/>
      </c>
    </row>
    <row r="20" spans="1:17" ht="30" customHeight="1" x14ac:dyDescent="0.3">
      <c r="A20" s="4" t="s">
        <v>73</v>
      </c>
      <c r="B20" s="4" t="s">
        <v>720</v>
      </c>
      <c r="C20" s="4" t="s">
        <v>721</v>
      </c>
      <c r="D20" s="4" t="s">
        <v>76</v>
      </c>
      <c r="E20" s="4" t="s">
        <v>712</v>
      </c>
      <c r="F20" s="7" t="s">
        <v>722</v>
      </c>
      <c r="G20" s="4">
        <v>2</v>
      </c>
      <c r="H20" s="7" t="s">
        <v>723</v>
      </c>
      <c r="I20" s="7" t="s">
        <v>724</v>
      </c>
      <c r="J20" s="7" t="s">
        <v>103</v>
      </c>
      <c r="K20" s="7" t="s">
        <v>725</v>
      </c>
      <c r="L20" s="7" t="s">
        <v>103</v>
      </c>
      <c r="M20" s="7" t="s">
        <v>726</v>
      </c>
      <c r="N20" s="7" t="s">
        <v>727</v>
      </c>
      <c r="O20" s="5"/>
      <c r="P20" s="4">
        <v>0</v>
      </c>
      <c r="Q20" s="5" t="str">
        <f t="shared" si="1"/>
        <v/>
      </c>
    </row>
    <row r="21" spans="1:17" ht="30" customHeight="1" x14ac:dyDescent="0.3">
      <c r="A21" s="2" t="s">
        <v>73</v>
      </c>
      <c r="B21" s="2" t="s">
        <v>728</v>
      </c>
      <c r="C21" s="2" t="s">
        <v>729</v>
      </c>
      <c r="D21" s="2" t="s">
        <v>138</v>
      </c>
      <c r="E21" s="2" t="s">
        <v>730</v>
      </c>
      <c r="F21" s="6" t="s">
        <v>731</v>
      </c>
      <c r="G21" s="2">
        <v>4</v>
      </c>
      <c r="H21" s="6" t="s">
        <v>732</v>
      </c>
      <c r="I21" s="6" t="s">
        <v>733</v>
      </c>
      <c r="J21" s="6" t="s">
        <v>103</v>
      </c>
      <c r="K21" s="6" t="s">
        <v>734</v>
      </c>
      <c r="L21" s="6" t="s">
        <v>103</v>
      </c>
      <c r="M21" s="6" t="s">
        <v>735</v>
      </c>
      <c r="N21" s="6" t="s">
        <v>736</v>
      </c>
      <c r="O21" s="3"/>
      <c r="P21" s="2">
        <v>0</v>
      </c>
      <c r="Q21" s="3" t="str">
        <f t="shared" si="1"/>
        <v/>
      </c>
    </row>
    <row r="22" spans="1:17" ht="30" customHeight="1" x14ac:dyDescent="0.3">
      <c r="A22" s="18" t="s">
        <v>737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</row>
    <row r="23" spans="1:17" ht="30" customHeight="1" x14ac:dyDescent="0.3">
      <c r="A23" s="4" t="s">
        <v>73</v>
      </c>
      <c r="B23" s="4" t="s">
        <v>738</v>
      </c>
      <c r="C23" s="4" t="s">
        <v>739</v>
      </c>
      <c r="D23" s="4" t="s">
        <v>138</v>
      </c>
      <c r="E23" s="4" t="s">
        <v>740</v>
      </c>
      <c r="F23" s="7" t="s">
        <v>741</v>
      </c>
      <c r="G23" s="4">
        <v>4</v>
      </c>
      <c r="H23" s="7" t="s">
        <v>742</v>
      </c>
      <c r="I23" s="7" t="s">
        <v>743</v>
      </c>
      <c r="J23" s="7" t="s">
        <v>744</v>
      </c>
      <c r="K23" s="7" t="s">
        <v>745</v>
      </c>
      <c r="L23" s="7" t="s">
        <v>103</v>
      </c>
      <c r="M23" s="7" t="s">
        <v>746</v>
      </c>
      <c r="N23" s="7" t="s">
        <v>747</v>
      </c>
      <c r="O23" s="5"/>
      <c r="P23" s="4">
        <v>0</v>
      </c>
      <c r="Q23" s="5" t="str">
        <f t="shared" ref="Q23:Q29" si="2">IF(OR(O23="",P23=0),"",O23+CHOOSE(P23,1,3,7,14,30,90,365))</f>
        <v/>
      </c>
    </row>
    <row r="24" spans="1:17" ht="30" customHeight="1" x14ac:dyDescent="0.3">
      <c r="A24" s="2" t="s">
        <v>73</v>
      </c>
      <c r="B24" s="2" t="s">
        <v>748</v>
      </c>
      <c r="C24" s="2" t="s">
        <v>749</v>
      </c>
      <c r="D24" s="2" t="s">
        <v>138</v>
      </c>
      <c r="E24" s="2" t="s">
        <v>750</v>
      </c>
      <c r="F24" s="6" t="s">
        <v>751</v>
      </c>
      <c r="G24" s="2">
        <v>4</v>
      </c>
      <c r="H24" s="6" t="s">
        <v>752</v>
      </c>
      <c r="I24" s="6" t="s">
        <v>753</v>
      </c>
      <c r="J24" s="6" t="s">
        <v>754</v>
      </c>
      <c r="K24" s="6" t="s">
        <v>755</v>
      </c>
      <c r="L24" s="6" t="s">
        <v>103</v>
      </c>
      <c r="M24" s="6" t="s">
        <v>756</v>
      </c>
      <c r="N24" s="6" t="s">
        <v>757</v>
      </c>
      <c r="O24" s="3"/>
      <c r="P24" s="2">
        <v>0</v>
      </c>
      <c r="Q24" s="3" t="str">
        <f t="shared" si="2"/>
        <v/>
      </c>
    </row>
    <row r="25" spans="1:17" ht="30" customHeight="1" x14ac:dyDescent="0.3">
      <c r="A25" s="4" t="s">
        <v>73</v>
      </c>
      <c r="B25" s="4" t="s">
        <v>758</v>
      </c>
      <c r="C25" s="4" t="s">
        <v>759</v>
      </c>
      <c r="D25" s="4" t="s">
        <v>76</v>
      </c>
      <c r="E25" s="4" t="s">
        <v>760</v>
      </c>
      <c r="F25" s="7" t="s">
        <v>761</v>
      </c>
      <c r="G25" s="4">
        <v>3</v>
      </c>
      <c r="H25" s="7" t="s">
        <v>762</v>
      </c>
      <c r="I25" s="7" t="s">
        <v>763</v>
      </c>
      <c r="J25" s="7" t="s">
        <v>763</v>
      </c>
      <c r="K25" s="7" t="s">
        <v>764</v>
      </c>
      <c r="L25" s="7" t="s">
        <v>103</v>
      </c>
      <c r="M25" s="7" t="s">
        <v>765</v>
      </c>
      <c r="N25" s="7" t="s">
        <v>766</v>
      </c>
      <c r="O25" s="5"/>
      <c r="P25" s="4">
        <v>0</v>
      </c>
      <c r="Q25" s="5" t="str">
        <f t="shared" si="2"/>
        <v/>
      </c>
    </row>
    <row r="26" spans="1:17" ht="30" customHeight="1" x14ac:dyDescent="0.3">
      <c r="A26" s="2" t="s">
        <v>73</v>
      </c>
      <c r="B26" s="2" t="s">
        <v>767</v>
      </c>
      <c r="C26" s="2" t="s">
        <v>768</v>
      </c>
      <c r="D26" s="2" t="s">
        <v>76</v>
      </c>
      <c r="E26" s="2" t="s">
        <v>608</v>
      </c>
      <c r="F26" s="6" t="s">
        <v>769</v>
      </c>
      <c r="G26" s="2">
        <v>2</v>
      </c>
      <c r="H26" s="6" t="s">
        <v>770</v>
      </c>
      <c r="I26" s="6" t="s">
        <v>771</v>
      </c>
      <c r="J26" s="6" t="s">
        <v>772</v>
      </c>
      <c r="K26" s="6" t="s">
        <v>773</v>
      </c>
      <c r="L26" s="6" t="s">
        <v>103</v>
      </c>
      <c r="M26" s="6" t="s">
        <v>774</v>
      </c>
      <c r="N26" s="6" t="s">
        <v>775</v>
      </c>
      <c r="O26" s="3"/>
      <c r="P26" s="2">
        <v>0</v>
      </c>
      <c r="Q26" s="3" t="str">
        <f t="shared" si="2"/>
        <v/>
      </c>
    </row>
    <row r="27" spans="1:17" ht="30" customHeight="1" x14ac:dyDescent="0.3">
      <c r="A27" s="4" t="s">
        <v>73</v>
      </c>
      <c r="B27" s="4" t="s">
        <v>776</v>
      </c>
      <c r="C27" s="4" t="s">
        <v>777</v>
      </c>
      <c r="D27" s="4" t="s">
        <v>76</v>
      </c>
      <c r="E27" s="4" t="s">
        <v>608</v>
      </c>
      <c r="F27" s="7" t="s">
        <v>778</v>
      </c>
      <c r="G27" s="4">
        <v>2</v>
      </c>
      <c r="H27" s="7" t="s">
        <v>779</v>
      </c>
      <c r="I27" s="7" t="s">
        <v>780</v>
      </c>
      <c r="J27" s="7" t="s">
        <v>103</v>
      </c>
      <c r="K27" s="7" t="s">
        <v>103</v>
      </c>
      <c r="L27" s="7" t="s">
        <v>103</v>
      </c>
      <c r="M27" s="7" t="s">
        <v>781</v>
      </c>
      <c r="N27" s="7" t="s">
        <v>782</v>
      </c>
      <c r="O27" s="5"/>
      <c r="P27" s="4">
        <v>0</v>
      </c>
      <c r="Q27" s="5" t="str">
        <f t="shared" si="2"/>
        <v/>
      </c>
    </row>
    <row r="28" spans="1:17" ht="30" customHeight="1" x14ac:dyDescent="0.3">
      <c r="A28" s="2" t="s">
        <v>73</v>
      </c>
      <c r="B28" s="2" t="s">
        <v>783</v>
      </c>
      <c r="C28" s="2" t="s">
        <v>784</v>
      </c>
      <c r="D28" s="2" t="s">
        <v>76</v>
      </c>
      <c r="E28" s="2" t="s">
        <v>776</v>
      </c>
      <c r="F28" s="6" t="s">
        <v>785</v>
      </c>
      <c r="G28" s="2">
        <v>2</v>
      </c>
      <c r="H28" s="6" t="s">
        <v>786</v>
      </c>
      <c r="I28" s="6" t="s">
        <v>787</v>
      </c>
      <c r="J28" s="6" t="s">
        <v>103</v>
      </c>
      <c r="K28" s="6" t="s">
        <v>103</v>
      </c>
      <c r="L28" s="6" t="s">
        <v>103</v>
      </c>
      <c r="M28" s="6" t="s">
        <v>788</v>
      </c>
      <c r="N28" s="6" t="s">
        <v>789</v>
      </c>
      <c r="O28" s="3"/>
      <c r="P28" s="2">
        <v>0</v>
      </c>
      <c r="Q28" s="3" t="str">
        <f t="shared" si="2"/>
        <v/>
      </c>
    </row>
    <row r="29" spans="1:17" ht="30" customHeight="1" x14ac:dyDescent="0.3">
      <c r="A29" s="4" t="s">
        <v>73</v>
      </c>
      <c r="B29" s="4" t="s">
        <v>790</v>
      </c>
      <c r="C29" s="4" t="s">
        <v>791</v>
      </c>
      <c r="D29" s="4" t="s">
        <v>138</v>
      </c>
      <c r="E29" s="4" t="s">
        <v>792</v>
      </c>
      <c r="F29" s="7" t="s">
        <v>793</v>
      </c>
      <c r="G29" s="4">
        <v>3</v>
      </c>
      <c r="H29" s="7" t="s">
        <v>794</v>
      </c>
      <c r="I29" s="7" t="s">
        <v>795</v>
      </c>
      <c r="J29" s="7" t="s">
        <v>796</v>
      </c>
      <c r="K29" s="7" t="s">
        <v>797</v>
      </c>
      <c r="L29" s="7" t="s">
        <v>103</v>
      </c>
      <c r="M29" s="7" t="s">
        <v>798</v>
      </c>
      <c r="N29" s="7" t="s">
        <v>799</v>
      </c>
      <c r="O29" s="5"/>
      <c r="P29" s="4">
        <v>0</v>
      </c>
      <c r="Q29" s="5" t="str">
        <f t="shared" si="2"/>
        <v/>
      </c>
    </row>
    <row r="30" spans="1:17" ht="30" customHeight="1" x14ac:dyDescent="0.3">
      <c r="A30" s="18" t="s">
        <v>800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</row>
    <row r="31" spans="1:17" ht="30" customHeight="1" x14ac:dyDescent="0.3">
      <c r="A31" s="2" t="s">
        <v>73</v>
      </c>
      <c r="B31" s="2" t="s">
        <v>800</v>
      </c>
      <c r="C31" s="2" t="s">
        <v>801</v>
      </c>
      <c r="D31" s="2" t="s">
        <v>76</v>
      </c>
      <c r="E31" s="2" t="s">
        <v>802</v>
      </c>
      <c r="F31" s="6" t="s">
        <v>803</v>
      </c>
      <c r="G31" s="2">
        <v>3</v>
      </c>
      <c r="H31" s="6" t="s">
        <v>804</v>
      </c>
      <c r="I31" s="6" t="s">
        <v>805</v>
      </c>
      <c r="J31" s="6" t="s">
        <v>806</v>
      </c>
      <c r="K31" s="6" t="s">
        <v>807</v>
      </c>
      <c r="L31" s="6" t="s">
        <v>103</v>
      </c>
      <c r="M31" s="6" t="s">
        <v>808</v>
      </c>
      <c r="N31" s="6" t="s">
        <v>809</v>
      </c>
      <c r="O31" s="3"/>
      <c r="P31" s="2">
        <v>0</v>
      </c>
      <c r="Q31" s="3" t="str">
        <f>IF(OR(O31="",P31=0),"",O31+CHOOSE(P31,1,3,7,14,30,90,365))</f>
        <v/>
      </c>
    </row>
    <row r="32" spans="1:17" ht="30" customHeight="1" x14ac:dyDescent="0.3">
      <c r="A32" s="4" t="s">
        <v>73</v>
      </c>
      <c r="B32" s="4" t="s">
        <v>800</v>
      </c>
      <c r="C32" s="4" t="s">
        <v>810</v>
      </c>
      <c r="D32" s="4" t="s">
        <v>76</v>
      </c>
      <c r="E32" s="4" t="s">
        <v>811</v>
      </c>
      <c r="F32" s="7" t="s">
        <v>812</v>
      </c>
      <c r="G32" s="4">
        <v>2</v>
      </c>
      <c r="H32" s="7" t="s">
        <v>813</v>
      </c>
      <c r="I32" s="7" t="s">
        <v>814</v>
      </c>
      <c r="J32" s="7" t="s">
        <v>815</v>
      </c>
      <c r="K32" s="7" t="s">
        <v>816</v>
      </c>
      <c r="L32" s="7" t="s">
        <v>103</v>
      </c>
      <c r="M32" s="7" t="s">
        <v>817</v>
      </c>
      <c r="N32" s="7" t="s">
        <v>818</v>
      </c>
      <c r="O32" s="5"/>
      <c r="P32" s="4">
        <v>0</v>
      </c>
      <c r="Q32" s="5" t="str">
        <f>IF(OR(O32="",P32=0),"",O32+CHOOSE(P32,1,3,7,14,30,90,365))</f>
        <v/>
      </c>
    </row>
    <row r="33" spans="1:17" ht="30" customHeight="1" x14ac:dyDescent="0.3">
      <c r="A33" s="2" t="s">
        <v>73</v>
      </c>
      <c r="B33" s="2" t="s">
        <v>800</v>
      </c>
      <c r="C33" s="2" t="s">
        <v>819</v>
      </c>
      <c r="D33" s="2" t="s">
        <v>76</v>
      </c>
      <c r="E33" s="2" t="s">
        <v>618</v>
      </c>
      <c r="F33" s="6" t="s">
        <v>820</v>
      </c>
      <c r="G33" s="2">
        <v>2</v>
      </c>
      <c r="H33" s="6" t="s">
        <v>821</v>
      </c>
      <c r="I33" s="6" t="s">
        <v>822</v>
      </c>
      <c r="J33" s="6" t="s">
        <v>823</v>
      </c>
      <c r="K33" s="6" t="s">
        <v>824</v>
      </c>
      <c r="L33" s="6" t="s">
        <v>103</v>
      </c>
      <c r="M33" s="6" t="s">
        <v>825</v>
      </c>
      <c r="N33" s="6" t="s">
        <v>826</v>
      </c>
      <c r="O33" s="3"/>
      <c r="P33" s="2">
        <v>0</v>
      </c>
      <c r="Q33" s="3" t="str">
        <f>IF(OR(O33="",P33=0),"",O33+CHOOSE(P33,1,3,7,14,30,90,365))</f>
        <v/>
      </c>
    </row>
  </sheetData>
  <autoFilter ref="A4:Q4" xr:uid="{00000000-0009-0000-0000-000006000000}"/>
  <mergeCells count="7">
    <mergeCell ref="A22:Q22"/>
    <mergeCell ref="A30:Q30"/>
    <mergeCell ref="A1:Q1"/>
    <mergeCell ref="A2:Q2"/>
    <mergeCell ref="A3:P3"/>
    <mergeCell ref="A5:Q5"/>
    <mergeCell ref="A15:Q15"/>
  </mergeCells>
  <conditionalFormatting sqref="A6:A14">
    <cfRule type="expression" dxfId="381" priority="3">
      <formula>$A6="Completed"</formula>
    </cfRule>
    <cfRule type="expression" dxfId="380" priority="4">
      <formula>$A6="In Progress"</formula>
    </cfRule>
    <cfRule type="expression" dxfId="379" priority="5">
      <formula>$A6="Not Started"</formula>
    </cfRule>
    <cfRule type="expression" dxfId="378" priority="6">
      <formula>$A6="Research"</formula>
    </cfRule>
    <cfRule type="expression" dxfId="377" priority="7">
      <formula>$A6="Project"</formula>
    </cfRule>
    <cfRule type="expression" dxfId="376" priority="8">
      <formula>$A6="Optional"</formula>
    </cfRule>
  </conditionalFormatting>
  <conditionalFormatting sqref="A16:A21">
    <cfRule type="expression" dxfId="375" priority="11">
      <formula>$A16="Completed"</formula>
    </cfRule>
    <cfRule type="expression" dxfId="374" priority="12">
      <formula>$A16="In Progress"</formula>
    </cfRule>
    <cfRule type="expression" dxfId="373" priority="13">
      <formula>$A16="Not Started"</formula>
    </cfRule>
    <cfRule type="expression" dxfId="372" priority="14">
      <formula>$A16="Research"</formula>
    </cfRule>
    <cfRule type="expression" dxfId="371" priority="15">
      <formula>$A16="Project"</formula>
    </cfRule>
    <cfRule type="expression" dxfId="370" priority="16">
      <formula>$A16="Optional"</formula>
    </cfRule>
  </conditionalFormatting>
  <conditionalFormatting sqref="A23:A29">
    <cfRule type="expression" dxfId="369" priority="19">
      <formula>$A23="Completed"</formula>
    </cfRule>
    <cfRule type="expression" dxfId="368" priority="20">
      <formula>$A23="In Progress"</formula>
    </cfRule>
    <cfRule type="expression" dxfId="367" priority="21">
      <formula>$A23="Not Started"</formula>
    </cfRule>
    <cfRule type="expression" dxfId="366" priority="22">
      <formula>$A23="Research"</formula>
    </cfRule>
    <cfRule type="expression" dxfId="365" priority="23">
      <formula>$A23="Project"</formula>
    </cfRule>
    <cfRule type="expression" dxfId="364" priority="24">
      <formula>$A23="Optional"</formula>
    </cfRule>
  </conditionalFormatting>
  <conditionalFormatting sqref="A31:A33">
    <cfRule type="expression" dxfId="363" priority="27">
      <formula>$A31="Completed"</formula>
    </cfRule>
    <cfRule type="expression" dxfId="362" priority="28">
      <formula>$A31="In Progress"</formula>
    </cfRule>
    <cfRule type="expression" dxfId="361" priority="29">
      <formula>$A31="Not Started"</formula>
    </cfRule>
    <cfRule type="expression" dxfId="360" priority="30">
      <formula>$A31="Research"</formula>
    </cfRule>
    <cfRule type="expression" dxfId="359" priority="31">
      <formula>$A31="Project"</formula>
    </cfRule>
    <cfRule type="expression" dxfId="358" priority="32">
      <formula>$A31="Optional"</formula>
    </cfRule>
  </conditionalFormatting>
  <conditionalFormatting sqref="Q3">
    <cfRule type="dataBar" priority="2">
      <dataBar>
        <cfvo type="num" val="0"/>
        <cfvo type="num" val="100"/>
        <color rgb="FF8FC1E9"/>
      </dataBar>
      <extLst>
        <ext xmlns:x14="http://schemas.microsoft.com/office/spreadsheetml/2009/9/main" uri="{B025F937-C7B1-47D3-B67F-A62EFF666E3E}">
          <x14:id>{467E4827-9910-441E-8A61-D048DA2D4D9D}</x14:id>
        </ext>
      </extLst>
    </cfRule>
  </conditionalFormatting>
  <conditionalFormatting sqref="Q6:Q14">
    <cfRule type="expression" dxfId="357" priority="9">
      <formula>AND($Q6&lt;&gt;"",$Q6&lt;TODAY())</formula>
    </cfRule>
    <cfRule type="expression" dxfId="356" priority="10">
      <formula>AND($Q6&lt;&gt;"",$Q6&gt;=TODAY(),$Q6&lt;=TODAY()+3)</formula>
    </cfRule>
  </conditionalFormatting>
  <conditionalFormatting sqref="Q16:Q21">
    <cfRule type="expression" dxfId="355" priority="17">
      <formula>AND($Q16&lt;&gt;"",$Q16&lt;TODAY())</formula>
    </cfRule>
    <cfRule type="expression" dxfId="354" priority="18">
      <formula>AND($Q16&lt;&gt;"",$Q16&gt;=TODAY(),$Q16&lt;=TODAY()+3)</formula>
    </cfRule>
  </conditionalFormatting>
  <conditionalFormatting sqref="Q23:Q29">
    <cfRule type="expression" dxfId="353" priority="25">
      <formula>AND($Q23&lt;&gt;"",$Q23&lt;TODAY())</formula>
    </cfRule>
    <cfRule type="expression" dxfId="352" priority="26">
      <formula>AND($Q23&lt;&gt;"",$Q23&gt;=TODAY(),$Q23&lt;=TODAY()+3)</formula>
    </cfRule>
  </conditionalFormatting>
  <conditionalFormatting sqref="Q31:Q33">
    <cfRule type="expression" dxfId="351" priority="33">
      <formula>AND($Q31&lt;&gt;"",$Q31&lt;TODAY())</formula>
    </cfRule>
    <cfRule type="expression" dxfId="350" priority="34">
      <formula>AND($Q31&lt;&gt;"",$Q31&gt;=TODAY(),$Q31&lt;=TODAY()+3)</formula>
    </cfRule>
  </conditionalFormatting>
  <dataValidations count="3">
    <dataValidation type="list" allowBlank="1" sqref="P6:P14 P16:P21 P23:P29 P31:P33" xr:uid="{00000000-0002-0000-0600-000000000000}">
      <formula1>"0,1,2,3,4,5,6,7"</formula1>
      <formula2>0</formula2>
    </dataValidation>
    <dataValidation type="list" allowBlank="1" sqref="A6:A14 A31:A33 A23:A29 A16:A21" xr:uid="{00000000-0002-0000-0600-000001000000}">
      <formula1>"Completed,In Progress,Not Started,Research,Project,Optional"</formula1>
      <formula2>0</formula2>
    </dataValidation>
    <dataValidation type="list" allowBlank="1" sqref="D6:D14 D31:D33 D23:D29 D16:D21" xr:uid="{00000000-0002-0000-0600-000002000000}">
      <formula1>"Intermediate,Advanced,Expert,Research-Level"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67E4827-9910-441E-8A61-D048DA2D4D9D}">
            <x14:dataBar axisPosition="none">
              <x14:cfvo type="num">
                <xm:f>0</xm:f>
              </x14:cfvo>
              <x14:cfvo type="num">
                <xm:f>100</xm:f>
              </x14:cfvo>
              <x14:negativeFillColor rgb="FF8FC1E9"/>
            </x14:dataBar>
          </x14:cfRule>
          <xm:sqref>Q3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29"/>
  <sheetViews>
    <sheetView showGridLines="0" zoomScaleNormal="100" workbookViewId="0">
      <pane ySplit="4" topLeftCell="A6" activePane="bottomLeft" state="frozen"/>
      <selection pane="bottomLeft" sqref="A1:Q1"/>
    </sheetView>
  </sheetViews>
  <sheetFormatPr defaultColWidth="8.6640625" defaultRowHeight="14.4" x14ac:dyDescent="0.3"/>
  <cols>
    <col min="1" max="1" width="12" customWidth="1"/>
    <col min="2" max="2" width="22" customWidth="1"/>
    <col min="3" max="3" width="30" customWidth="1"/>
    <col min="4" max="4" width="12" customWidth="1"/>
    <col min="5" max="5" width="22" customWidth="1"/>
    <col min="6" max="6" width="34" customWidth="1"/>
    <col min="7" max="7" width="9" customWidth="1"/>
    <col min="8" max="8" width="26" customWidth="1"/>
    <col min="9" max="9" width="30" customWidth="1"/>
    <col min="10" max="10" width="24" customWidth="1"/>
    <col min="11" max="12" width="30" customWidth="1"/>
    <col min="13" max="13" width="40" customWidth="1"/>
    <col min="14" max="14" width="30" customWidth="1"/>
    <col min="15" max="15" width="13" customWidth="1"/>
    <col min="16" max="16" width="11" customWidth="1"/>
    <col min="17" max="17" width="13" customWidth="1"/>
  </cols>
  <sheetData>
    <row r="1" spans="1:17" ht="33.75" customHeight="1" x14ac:dyDescent="0.3">
      <c r="A1" s="19" t="s">
        <v>47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ht="15" customHeight="1" x14ac:dyDescent="0.3">
      <c r="A2" s="20" t="s">
        <v>827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ht="19.5" customHeight="1" x14ac:dyDescent="0.3">
      <c r="A3" s="21" t="s">
        <v>828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12">
        <f>ROUND(COUNTIF(A5:A29,"Completed")/SUMPRODUCT(COUNTIF(A5:A29,{"Completed","In Progress","Not Started","Research","Project","Optional"}))*100,0)</f>
        <v>0</v>
      </c>
    </row>
    <row r="4" spans="1:17" ht="31.5" customHeight="1" x14ac:dyDescent="0.3">
      <c r="A4" s="1" t="s">
        <v>58</v>
      </c>
      <c r="B4" s="1" t="s">
        <v>6</v>
      </c>
      <c r="C4" s="1" t="s">
        <v>7</v>
      </c>
      <c r="D4" s="1" t="s">
        <v>59</v>
      </c>
      <c r="E4" s="1" t="s">
        <v>60</v>
      </c>
      <c r="F4" s="1" t="s">
        <v>61</v>
      </c>
      <c r="G4" s="1" t="s">
        <v>62</v>
      </c>
      <c r="H4" s="1" t="s">
        <v>63</v>
      </c>
      <c r="I4" s="1" t="s">
        <v>64</v>
      </c>
      <c r="J4" s="1" t="s">
        <v>65</v>
      </c>
      <c r="K4" s="1" t="s">
        <v>66</v>
      </c>
      <c r="L4" s="1" t="s">
        <v>67</v>
      </c>
      <c r="M4" s="1" t="s">
        <v>68</v>
      </c>
      <c r="N4" s="1" t="s">
        <v>11</v>
      </c>
      <c r="O4" s="1" t="s">
        <v>69</v>
      </c>
      <c r="P4" s="1" t="s">
        <v>70</v>
      </c>
      <c r="Q4" s="1" t="s">
        <v>71</v>
      </c>
    </row>
    <row r="5" spans="1:17" ht="30" customHeight="1" x14ac:dyDescent="0.3">
      <c r="A5" s="18" t="s">
        <v>829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3">
      <c r="A6" s="2" t="s">
        <v>73</v>
      </c>
      <c r="B6" s="2" t="s">
        <v>830</v>
      </c>
      <c r="C6" s="2" t="s">
        <v>831</v>
      </c>
      <c r="D6" s="2" t="s">
        <v>76</v>
      </c>
      <c r="E6" s="2" t="s">
        <v>832</v>
      </c>
      <c r="F6" s="6" t="s">
        <v>833</v>
      </c>
      <c r="G6" s="2">
        <v>4</v>
      </c>
      <c r="H6" s="6" t="s">
        <v>834</v>
      </c>
      <c r="I6" s="6" t="s">
        <v>835</v>
      </c>
      <c r="J6" s="6" t="s">
        <v>836</v>
      </c>
      <c r="K6" s="6" t="s">
        <v>837</v>
      </c>
      <c r="L6" s="6" t="s">
        <v>103</v>
      </c>
      <c r="M6" s="6" t="s">
        <v>838</v>
      </c>
      <c r="N6" s="6" t="s">
        <v>839</v>
      </c>
      <c r="O6" s="3"/>
      <c r="P6" s="2">
        <v>0</v>
      </c>
      <c r="Q6" s="3" t="str">
        <f>IF(OR(O6="",P6=0),"",O6+CHOOSE(P6,1,3,7,14,30,90,365))</f>
        <v/>
      </c>
    </row>
    <row r="7" spans="1:17" ht="30" customHeight="1" x14ac:dyDescent="0.3">
      <c r="A7" s="4" t="s">
        <v>73</v>
      </c>
      <c r="B7" s="4" t="s">
        <v>840</v>
      </c>
      <c r="C7" s="4" t="s">
        <v>841</v>
      </c>
      <c r="D7" s="4" t="s">
        <v>76</v>
      </c>
      <c r="E7" s="4" t="s">
        <v>832</v>
      </c>
      <c r="F7" s="7" t="s">
        <v>842</v>
      </c>
      <c r="G7" s="4">
        <v>1</v>
      </c>
      <c r="H7" s="7" t="s">
        <v>843</v>
      </c>
      <c r="I7" s="7" t="s">
        <v>844</v>
      </c>
      <c r="J7" s="7" t="s">
        <v>845</v>
      </c>
      <c r="K7" s="7" t="s">
        <v>846</v>
      </c>
      <c r="L7" s="7" t="s">
        <v>103</v>
      </c>
      <c r="M7" s="7" t="s">
        <v>847</v>
      </c>
      <c r="N7" s="7" t="s">
        <v>848</v>
      </c>
      <c r="O7" s="5"/>
      <c r="P7" s="4">
        <v>0</v>
      </c>
      <c r="Q7" s="5" t="str">
        <f>IF(OR(O7="",P7=0),"",O7+CHOOSE(P7,1,3,7,14,30,90,365))</f>
        <v/>
      </c>
    </row>
    <row r="8" spans="1:17" ht="30" customHeight="1" x14ac:dyDescent="0.3">
      <c r="A8" s="2" t="s">
        <v>73</v>
      </c>
      <c r="B8" s="2" t="s">
        <v>849</v>
      </c>
      <c r="C8" s="2" t="s">
        <v>850</v>
      </c>
      <c r="D8" s="2" t="s">
        <v>138</v>
      </c>
      <c r="E8" s="2" t="s">
        <v>851</v>
      </c>
      <c r="F8" s="6" t="s">
        <v>852</v>
      </c>
      <c r="G8" s="2">
        <v>4</v>
      </c>
      <c r="H8" s="6" t="s">
        <v>853</v>
      </c>
      <c r="I8" s="6" t="s">
        <v>854</v>
      </c>
      <c r="J8" s="6" t="s">
        <v>855</v>
      </c>
      <c r="K8" s="6" t="s">
        <v>856</v>
      </c>
      <c r="L8" s="6" t="s">
        <v>103</v>
      </c>
      <c r="M8" s="6" t="s">
        <v>857</v>
      </c>
      <c r="N8" s="6" t="s">
        <v>858</v>
      </c>
      <c r="O8" s="3"/>
      <c r="P8" s="2">
        <v>0</v>
      </c>
      <c r="Q8" s="3" t="str">
        <f>IF(OR(O8="",P8=0),"",O8+CHOOSE(P8,1,3,7,14,30,90,365))</f>
        <v/>
      </c>
    </row>
    <row r="9" spans="1:17" ht="30" customHeight="1" x14ac:dyDescent="0.3">
      <c r="A9" s="4" t="s">
        <v>73</v>
      </c>
      <c r="B9" s="4" t="s">
        <v>859</v>
      </c>
      <c r="C9" s="4" t="s">
        <v>860</v>
      </c>
      <c r="D9" s="4" t="s">
        <v>76</v>
      </c>
      <c r="E9" s="4" t="s">
        <v>830</v>
      </c>
      <c r="F9" s="7" t="s">
        <v>861</v>
      </c>
      <c r="G9" s="4">
        <v>3</v>
      </c>
      <c r="H9" s="7" t="s">
        <v>862</v>
      </c>
      <c r="I9" s="7" t="s">
        <v>863</v>
      </c>
      <c r="J9" s="7" t="s">
        <v>864</v>
      </c>
      <c r="K9" s="7" t="s">
        <v>865</v>
      </c>
      <c r="L9" s="7" t="s">
        <v>103</v>
      </c>
      <c r="M9" s="7" t="s">
        <v>866</v>
      </c>
      <c r="N9" s="7" t="s">
        <v>867</v>
      </c>
      <c r="O9" s="5"/>
      <c r="P9" s="4">
        <v>0</v>
      </c>
      <c r="Q9" s="5" t="str">
        <f>IF(OR(O9="",P9=0),"",O9+CHOOSE(P9,1,3,7,14,30,90,365))</f>
        <v/>
      </c>
    </row>
    <row r="10" spans="1:17" ht="30" customHeight="1" x14ac:dyDescent="0.3">
      <c r="A10" s="2" t="s">
        <v>73</v>
      </c>
      <c r="B10" s="2" t="s">
        <v>868</v>
      </c>
      <c r="C10" s="2" t="s">
        <v>869</v>
      </c>
      <c r="D10" s="2" t="s">
        <v>138</v>
      </c>
      <c r="E10" s="2" t="s">
        <v>859</v>
      </c>
      <c r="F10" s="6" t="s">
        <v>870</v>
      </c>
      <c r="G10" s="2">
        <v>3</v>
      </c>
      <c r="H10" s="6" t="s">
        <v>871</v>
      </c>
      <c r="I10" s="6" t="s">
        <v>872</v>
      </c>
      <c r="J10" s="6" t="s">
        <v>873</v>
      </c>
      <c r="K10" s="6" t="s">
        <v>874</v>
      </c>
      <c r="L10" s="6" t="s">
        <v>103</v>
      </c>
      <c r="M10" s="6" t="s">
        <v>875</v>
      </c>
      <c r="N10" s="6" t="s">
        <v>876</v>
      </c>
      <c r="O10" s="3"/>
      <c r="P10" s="2">
        <v>0</v>
      </c>
      <c r="Q10" s="3" t="str">
        <f>IF(OR(O10="",P10=0),"",O10+CHOOSE(P10,1,3,7,14,30,90,365))</f>
        <v/>
      </c>
    </row>
    <row r="11" spans="1:17" ht="30" customHeight="1" x14ac:dyDescent="0.3">
      <c r="A11" s="18" t="s">
        <v>877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3">
      <c r="A12" s="4" t="s">
        <v>73</v>
      </c>
      <c r="B12" s="4" t="s">
        <v>878</v>
      </c>
      <c r="C12" s="4" t="s">
        <v>879</v>
      </c>
      <c r="D12" s="4" t="s">
        <v>76</v>
      </c>
      <c r="E12" s="4" t="s">
        <v>880</v>
      </c>
      <c r="F12" s="7" t="s">
        <v>881</v>
      </c>
      <c r="G12" s="4">
        <v>3</v>
      </c>
      <c r="H12" s="7" t="s">
        <v>882</v>
      </c>
      <c r="I12" s="7" t="s">
        <v>883</v>
      </c>
      <c r="J12" s="7" t="s">
        <v>884</v>
      </c>
      <c r="K12" s="7" t="s">
        <v>885</v>
      </c>
      <c r="L12" s="7" t="s">
        <v>103</v>
      </c>
      <c r="M12" s="7" t="s">
        <v>886</v>
      </c>
      <c r="N12" s="7" t="s">
        <v>887</v>
      </c>
      <c r="O12" s="5"/>
      <c r="P12" s="4">
        <v>0</v>
      </c>
      <c r="Q12" s="5" t="str">
        <f>IF(OR(O12="",P12=0),"",O12+CHOOSE(P12,1,3,7,14,30,90,365))</f>
        <v/>
      </c>
    </row>
    <row r="13" spans="1:17" ht="30" customHeight="1" x14ac:dyDescent="0.3">
      <c r="A13" s="2" t="s">
        <v>73</v>
      </c>
      <c r="B13" s="2" t="s">
        <v>888</v>
      </c>
      <c r="C13" s="2" t="s">
        <v>889</v>
      </c>
      <c r="D13" s="2" t="s">
        <v>138</v>
      </c>
      <c r="E13" s="2" t="s">
        <v>890</v>
      </c>
      <c r="F13" s="6" t="s">
        <v>891</v>
      </c>
      <c r="G13" s="2">
        <v>3</v>
      </c>
      <c r="H13" s="6" t="s">
        <v>892</v>
      </c>
      <c r="I13" s="6" t="s">
        <v>893</v>
      </c>
      <c r="J13" s="6" t="s">
        <v>894</v>
      </c>
      <c r="K13" s="6" t="s">
        <v>895</v>
      </c>
      <c r="L13" s="6" t="s">
        <v>103</v>
      </c>
      <c r="M13" s="6" t="s">
        <v>896</v>
      </c>
      <c r="N13" s="6" t="s">
        <v>897</v>
      </c>
      <c r="O13" s="3"/>
      <c r="P13" s="2">
        <v>0</v>
      </c>
      <c r="Q13" s="3" t="str">
        <f>IF(OR(O13="",P13=0),"",O13+CHOOSE(P13,1,3,7,14,30,90,365))</f>
        <v/>
      </c>
    </row>
    <row r="14" spans="1:17" ht="30" customHeight="1" x14ac:dyDescent="0.3">
      <c r="A14" s="4" t="s">
        <v>73</v>
      </c>
      <c r="B14" s="4" t="s">
        <v>898</v>
      </c>
      <c r="C14" s="4" t="s">
        <v>899</v>
      </c>
      <c r="D14" s="4" t="s">
        <v>76</v>
      </c>
      <c r="E14" s="4" t="s">
        <v>900</v>
      </c>
      <c r="F14" s="7" t="s">
        <v>901</v>
      </c>
      <c r="G14" s="4">
        <v>4</v>
      </c>
      <c r="H14" s="7" t="s">
        <v>902</v>
      </c>
      <c r="I14" s="7" t="s">
        <v>903</v>
      </c>
      <c r="J14" s="7" t="s">
        <v>904</v>
      </c>
      <c r="K14" s="7" t="s">
        <v>905</v>
      </c>
      <c r="L14" s="7" t="s">
        <v>103</v>
      </c>
      <c r="M14" s="7" t="s">
        <v>906</v>
      </c>
      <c r="N14" s="7" t="s">
        <v>907</v>
      </c>
      <c r="O14" s="5"/>
      <c r="P14" s="4">
        <v>0</v>
      </c>
      <c r="Q14" s="5" t="str">
        <f>IF(OR(O14="",P14=0),"",O14+CHOOSE(P14,1,3,7,14,30,90,365))</f>
        <v/>
      </c>
    </row>
    <row r="15" spans="1:17" ht="30" customHeight="1" x14ac:dyDescent="0.3">
      <c r="A15" s="2" t="s">
        <v>73</v>
      </c>
      <c r="B15" s="2" t="s">
        <v>908</v>
      </c>
      <c r="C15" s="2" t="s">
        <v>909</v>
      </c>
      <c r="D15" s="2" t="s">
        <v>76</v>
      </c>
      <c r="E15" s="2" t="s">
        <v>832</v>
      </c>
      <c r="F15" s="6" t="s">
        <v>910</v>
      </c>
      <c r="G15" s="2">
        <v>3</v>
      </c>
      <c r="H15" s="6" t="s">
        <v>911</v>
      </c>
      <c r="I15" s="6" t="s">
        <v>912</v>
      </c>
      <c r="J15" s="6" t="s">
        <v>913</v>
      </c>
      <c r="K15" s="6" t="s">
        <v>914</v>
      </c>
      <c r="L15" s="6" t="s">
        <v>103</v>
      </c>
      <c r="M15" s="6" t="s">
        <v>915</v>
      </c>
      <c r="N15" s="6" t="s">
        <v>916</v>
      </c>
      <c r="O15" s="3"/>
      <c r="P15" s="2">
        <v>0</v>
      </c>
      <c r="Q15" s="3" t="str">
        <f>IF(OR(O15="",P15=0),"",O15+CHOOSE(P15,1,3,7,14,30,90,365))</f>
        <v/>
      </c>
    </row>
    <row r="16" spans="1:17" ht="30" customHeight="1" x14ac:dyDescent="0.3">
      <c r="A16" s="18" t="s">
        <v>917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  <row r="17" spans="1:17" ht="30" customHeight="1" x14ac:dyDescent="0.3">
      <c r="A17" s="4" t="s">
        <v>73</v>
      </c>
      <c r="B17" s="4" t="s">
        <v>918</v>
      </c>
      <c r="C17" s="4" t="s">
        <v>919</v>
      </c>
      <c r="D17" s="4" t="s">
        <v>76</v>
      </c>
      <c r="E17" s="4" t="s">
        <v>832</v>
      </c>
      <c r="F17" s="7" t="s">
        <v>920</v>
      </c>
      <c r="G17" s="4">
        <v>3</v>
      </c>
      <c r="H17" s="7" t="s">
        <v>921</v>
      </c>
      <c r="I17" s="7" t="s">
        <v>922</v>
      </c>
      <c r="J17" s="7" t="s">
        <v>923</v>
      </c>
      <c r="K17" s="7" t="s">
        <v>103</v>
      </c>
      <c r="L17" s="7" t="s">
        <v>103</v>
      </c>
      <c r="M17" s="7" t="s">
        <v>924</v>
      </c>
      <c r="N17" s="7" t="s">
        <v>925</v>
      </c>
      <c r="O17" s="5"/>
      <c r="P17" s="4">
        <v>0</v>
      </c>
      <c r="Q17" s="5" t="str">
        <f t="shared" ref="Q17:Q22" si="0">IF(OR(O17="",P17=0),"",O17+CHOOSE(P17,1,3,7,14,30,90,365))</f>
        <v/>
      </c>
    </row>
    <row r="18" spans="1:17" ht="30" customHeight="1" x14ac:dyDescent="0.3">
      <c r="A18" s="2" t="s">
        <v>73</v>
      </c>
      <c r="B18" s="2" t="s">
        <v>926</v>
      </c>
      <c r="C18" s="2" t="s">
        <v>927</v>
      </c>
      <c r="D18" s="2" t="s">
        <v>76</v>
      </c>
      <c r="E18" s="2" t="s">
        <v>928</v>
      </c>
      <c r="F18" s="6" t="s">
        <v>929</v>
      </c>
      <c r="G18" s="2">
        <v>3</v>
      </c>
      <c r="H18" s="6" t="s">
        <v>930</v>
      </c>
      <c r="I18" s="6" t="s">
        <v>931</v>
      </c>
      <c r="J18" s="6" t="s">
        <v>932</v>
      </c>
      <c r="K18" s="6" t="s">
        <v>933</v>
      </c>
      <c r="L18" s="6" t="s">
        <v>103</v>
      </c>
      <c r="M18" s="6" t="s">
        <v>934</v>
      </c>
      <c r="N18" s="6" t="s">
        <v>935</v>
      </c>
      <c r="O18" s="3"/>
      <c r="P18" s="2">
        <v>0</v>
      </c>
      <c r="Q18" s="3" t="str">
        <f t="shared" si="0"/>
        <v/>
      </c>
    </row>
    <row r="19" spans="1:17" ht="30" customHeight="1" x14ac:dyDescent="0.3">
      <c r="A19" s="4" t="s">
        <v>73</v>
      </c>
      <c r="B19" s="4" t="s">
        <v>936</v>
      </c>
      <c r="C19" s="4" t="s">
        <v>937</v>
      </c>
      <c r="D19" s="4" t="s">
        <v>76</v>
      </c>
      <c r="E19" s="4" t="s">
        <v>938</v>
      </c>
      <c r="F19" s="7" t="s">
        <v>939</v>
      </c>
      <c r="G19" s="4">
        <v>2</v>
      </c>
      <c r="H19" s="7" t="s">
        <v>940</v>
      </c>
      <c r="I19" s="7" t="s">
        <v>941</v>
      </c>
      <c r="J19" s="7" t="s">
        <v>942</v>
      </c>
      <c r="K19" s="7" t="s">
        <v>943</v>
      </c>
      <c r="L19" s="7" t="s">
        <v>944</v>
      </c>
      <c r="M19" s="7" t="s">
        <v>945</v>
      </c>
      <c r="N19" s="7" t="s">
        <v>946</v>
      </c>
      <c r="O19" s="5"/>
      <c r="P19" s="4">
        <v>0</v>
      </c>
      <c r="Q19" s="5" t="str">
        <f t="shared" si="0"/>
        <v/>
      </c>
    </row>
    <row r="20" spans="1:17" ht="30" customHeight="1" x14ac:dyDescent="0.3">
      <c r="A20" s="2" t="s">
        <v>73</v>
      </c>
      <c r="B20" s="2" t="s">
        <v>947</v>
      </c>
      <c r="C20" s="2" t="s">
        <v>948</v>
      </c>
      <c r="D20" s="2" t="s">
        <v>138</v>
      </c>
      <c r="E20" s="2" t="s">
        <v>949</v>
      </c>
      <c r="F20" s="6" t="s">
        <v>950</v>
      </c>
      <c r="G20" s="2">
        <v>3</v>
      </c>
      <c r="H20" s="6" t="s">
        <v>951</v>
      </c>
      <c r="I20" s="6" t="s">
        <v>952</v>
      </c>
      <c r="J20" s="6" t="s">
        <v>953</v>
      </c>
      <c r="K20" s="6" t="s">
        <v>954</v>
      </c>
      <c r="L20" s="6" t="s">
        <v>103</v>
      </c>
      <c r="M20" s="6" t="s">
        <v>955</v>
      </c>
      <c r="N20" s="6" t="s">
        <v>956</v>
      </c>
      <c r="O20" s="3"/>
      <c r="P20" s="2">
        <v>0</v>
      </c>
      <c r="Q20" s="3" t="str">
        <f t="shared" si="0"/>
        <v/>
      </c>
    </row>
    <row r="21" spans="1:17" ht="30" customHeight="1" x14ac:dyDescent="0.3">
      <c r="A21" s="4" t="s">
        <v>73</v>
      </c>
      <c r="B21" s="4" t="s">
        <v>957</v>
      </c>
      <c r="C21" s="4" t="s">
        <v>958</v>
      </c>
      <c r="D21" s="4" t="s">
        <v>76</v>
      </c>
      <c r="E21" s="4" t="s">
        <v>959</v>
      </c>
      <c r="F21" s="7" t="s">
        <v>960</v>
      </c>
      <c r="G21" s="4">
        <v>2</v>
      </c>
      <c r="H21" s="7" t="s">
        <v>961</v>
      </c>
      <c r="I21" s="7" t="s">
        <v>962</v>
      </c>
      <c r="J21" s="7" t="s">
        <v>103</v>
      </c>
      <c r="K21" s="7" t="s">
        <v>103</v>
      </c>
      <c r="L21" s="7" t="s">
        <v>103</v>
      </c>
      <c r="M21" s="7" t="s">
        <v>963</v>
      </c>
      <c r="N21" s="7" t="s">
        <v>964</v>
      </c>
      <c r="O21" s="5"/>
      <c r="P21" s="4">
        <v>0</v>
      </c>
      <c r="Q21" s="5" t="str">
        <f t="shared" si="0"/>
        <v/>
      </c>
    </row>
    <row r="22" spans="1:17" ht="30" customHeight="1" x14ac:dyDescent="0.3">
      <c r="A22" s="2" t="s">
        <v>73</v>
      </c>
      <c r="B22" s="2" t="s">
        <v>965</v>
      </c>
      <c r="C22" s="2" t="s">
        <v>966</v>
      </c>
      <c r="D22" s="2" t="s">
        <v>138</v>
      </c>
      <c r="E22" s="2" t="s">
        <v>967</v>
      </c>
      <c r="F22" s="6" t="s">
        <v>968</v>
      </c>
      <c r="G22" s="2">
        <v>2</v>
      </c>
      <c r="H22" s="6" t="s">
        <v>969</v>
      </c>
      <c r="I22" s="6" t="s">
        <v>970</v>
      </c>
      <c r="J22" s="6" t="s">
        <v>971</v>
      </c>
      <c r="K22" s="6" t="s">
        <v>103</v>
      </c>
      <c r="L22" s="6" t="s">
        <v>103</v>
      </c>
      <c r="M22" s="6" t="s">
        <v>972</v>
      </c>
      <c r="N22" s="6" t="s">
        <v>973</v>
      </c>
      <c r="O22" s="3"/>
      <c r="P22" s="2">
        <v>0</v>
      </c>
      <c r="Q22" s="3" t="str">
        <f t="shared" si="0"/>
        <v/>
      </c>
    </row>
    <row r="23" spans="1:17" ht="30" customHeight="1" x14ac:dyDescent="0.3">
      <c r="A23" s="18" t="s">
        <v>974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</row>
    <row r="24" spans="1:17" ht="30" customHeight="1" x14ac:dyDescent="0.3">
      <c r="A24" s="4" t="s">
        <v>73</v>
      </c>
      <c r="B24" s="4" t="s">
        <v>975</v>
      </c>
      <c r="C24" s="4" t="s">
        <v>976</v>
      </c>
      <c r="D24" s="4" t="s">
        <v>76</v>
      </c>
      <c r="E24" s="4" t="s">
        <v>977</v>
      </c>
      <c r="F24" s="7" t="s">
        <v>978</v>
      </c>
      <c r="G24" s="4">
        <v>4</v>
      </c>
      <c r="H24" s="7" t="s">
        <v>979</v>
      </c>
      <c r="I24" s="7" t="s">
        <v>980</v>
      </c>
      <c r="J24" s="7" t="s">
        <v>981</v>
      </c>
      <c r="K24" s="7" t="s">
        <v>982</v>
      </c>
      <c r="L24" s="7" t="s">
        <v>983</v>
      </c>
      <c r="M24" s="7" t="s">
        <v>984</v>
      </c>
      <c r="N24" s="7" t="s">
        <v>985</v>
      </c>
      <c r="O24" s="5"/>
      <c r="P24" s="4">
        <v>0</v>
      </c>
      <c r="Q24" s="5" t="str">
        <f t="shared" ref="Q24:Q29" si="1">IF(OR(O24="",P24=0),"",O24+CHOOSE(P24,1,3,7,14,30,90,365))</f>
        <v/>
      </c>
    </row>
    <row r="25" spans="1:17" ht="30" customHeight="1" x14ac:dyDescent="0.3">
      <c r="A25" s="2" t="s">
        <v>73</v>
      </c>
      <c r="B25" s="2" t="s">
        <v>986</v>
      </c>
      <c r="C25" s="2" t="s">
        <v>987</v>
      </c>
      <c r="D25" s="2" t="s">
        <v>76</v>
      </c>
      <c r="E25" s="2" t="s">
        <v>832</v>
      </c>
      <c r="F25" s="6" t="s">
        <v>988</v>
      </c>
      <c r="G25" s="2">
        <v>2</v>
      </c>
      <c r="H25" s="6" t="s">
        <v>989</v>
      </c>
      <c r="I25" s="6" t="s">
        <v>990</v>
      </c>
      <c r="J25" s="6" t="s">
        <v>103</v>
      </c>
      <c r="K25" s="6" t="s">
        <v>103</v>
      </c>
      <c r="L25" s="6" t="s">
        <v>103</v>
      </c>
      <c r="M25" s="6" t="s">
        <v>991</v>
      </c>
      <c r="N25" s="6" t="s">
        <v>992</v>
      </c>
      <c r="O25" s="3"/>
      <c r="P25" s="2">
        <v>0</v>
      </c>
      <c r="Q25" s="3" t="str">
        <f t="shared" si="1"/>
        <v/>
      </c>
    </row>
    <row r="26" spans="1:17" ht="30" customHeight="1" x14ac:dyDescent="0.3">
      <c r="A26" s="4" t="s">
        <v>73</v>
      </c>
      <c r="B26" s="4" t="s">
        <v>993</v>
      </c>
      <c r="C26" s="4" t="s">
        <v>994</v>
      </c>
      <c r="D26" s="4" t="s">
        <v>76</v>
      </c>
      <c r="E26" s="4" t="s">
        <v>995</v>
      </c>
      <c r="F26" s="7" t="s">
        <v>996</v>
      </c>
      <c r="G26" s="4">
        <v>3</v>
      </c>
      <c r="H26" s="7" t="s">
        <v>997</v>
      </c>
      <c r="I26" s="7" t="s">
        <v>998</v>
      </c>
      <c r="J26" s="7" t="s">
        <v>999</v>
      </c>
      <c r="K26" s="7" t="s">
        <v>103</v>
      </c>
      <c r="L26" s="7" t="s">
        <v>103</v>
      </c>
      <c r="M26" s="7" t="s">
        <v>1000</v>
      </c>
      <c r="N26" s="7" t="s">
        <v>1001</v>
      </c>
      <c r="O26" s="5"/>
      <c r="P26" s="4">
        <v>0</v>
      </c>
      <c r="Q26" s="5" t="str">
        <f t="shared" si="1"/>
        <v/>
      </c>
    </row>
    <row r="27" spans="1:17" ht="30" customHeight="1" x14ac:dyDescent="0.3">
      <c r="A27" s="2" t="s">
        <v>73</v>
      </c>
      <c r="B27" s="2" t="s">
        <v>1002</v>
      </c>
      <c r="C27" s="2" t="s">
        <v>1003</v>
      </c>
      <c r="D27" s="2" t="s">
        <v>76</v>
      </c>
      <c r="E27" s="2" t="s">
        <v>1004</v>
      </c>
      <c r="F27" s="6" t="s">
        <v>1005</v>
      </c>
      <c r="G27" s="2">
        <v>2</v>
      </c>
      <c r="H27" s="6" t="s">
        <v>1006</v>
      </c>
      <c r="I27" s="6" t="s">
        <v>1007</v>
      </c>
      <c r="J27" s="6" t="s">
        <v>1008</v>
      </c>
      <c r="K27" s="6" t="s">
        <v>1009</v>
      </c>
      <c r="L27" s="6" t="s">
        <v>103</v>
      </c>
      <c r="M27" s="6" t="s">
        <v>1010</v>
      </c>
      <c r="N27" s="6" t="s">
        <v>1011</v>
      </c>
      <c r="O27" s="3"/>
      <c r="P27" s="2">
        <v>0</v>
      </c>
      <c r="Q27" s="3" t="str">
        <f t="shared" si="1"/>
        <v/>
      </c>
    </row>
    <row r="28" spans="1:17" ht="30" customHeight="1" x14ac:dyDescent="0.3">
      <c r="A28" s="4" t="s">
        <v>73</v>
      </c>
      <c r="B28" s="4" t="s">
        <v>1012</v>
      </c>
      <c r="C28" s="4" t="s">
        <v>1013</v>
      </c>
      <c r="D28" s="4" t="s">
        <v>76</v>
      </c>
      <c r="E28" s="4" t="s">
        <v>1002</v>
      </c>
      <c r="F28" s="7" t="s">
        <v>1014</v>
      </c>
      <c r="G28" s="4">
        <v>2</v>
      </c>
      <c r="H28" s="7" t="s">
        <v>1015</v>
      </c>
      <c r="I28" s="7" t="s">
        <v>1016</v>
      </c>
      <c r="J28" s="7" t="s">
        <v>1017</v>
      </c>
      <c r="K28" s="7" t="s">
        <v>1018</v>
      </c>
      <c r="L28" s="7" t="s">
        <v>103</v>
      </c>
      <c r="M28" s="7" t="s">
        <v>1019</v>
      </c>
      <c r="N28" s="7" t="s">
        <v>1020</v>
      </c>
      <c r="O28" s="5"/>
      <c r="P28" s="4">
        <v>0</v>
      </c>
      <c r="Q28" s="5" t="str">
        <f t="shared" si="1"/>
        <v/>
      </c>
    </row>
    <row r="29" spans="1:17" ht="30" customHeight="1" x14ac:dyDescent="0.3">
      <c r="A29" s="2" t="s">
        <v>73</v>
      </c>
      <c r="B29" s="2" t="s">
        <v>1021</v>
      </c>
      <c r="C29" s="2" t="s">
        <v>1022</v>
      </c>
      <c r="D29" s="2" t="s">
        <v>76</v>
      </c>
      <c r="E29" s="2" t="s">
        <v>1023</v>
      </c>
      <c r="F29" s="6" t="s">
        <v>1024</v>
      </c>
      <c r="G29" s="2">
        <v>2</v>
      </c>
      <c r="H29" s="6" t="s">
        <v>1025</v>
      </c>
      <c r="I29" s="6" t="s">
        <v>1026</v>
      </c>
      <c r="J29" s="6" t="s">
        <v>1027</v>
      </c>
      <c r="K29" s="6" t="s">
        <v>1028</v>
      </c>
      <c r="L29" s="6" t="s">
        <v>103</v>
      </c>
      <c r="M29" s="6" t="s">
        <v>1029</v>
      </c>
      <c r="N29" s="6" t="s">
        <v>1030</v>
      </c>
      <c r="O29" s="3"/>
      <c r="P29" s="2">
        <v>0</v>
      </c>
      <c r="Q29" s="3" t="str">
        <f t="shared" si="1"/>
        <v/>
      </c>
    </row>
  </sheetData>
  <autoFilter ref="A4:Q4" xr:uid="{00000000-0009-0000-0000-000007000000}"/>
  <mergeCells count="7">
    <mergeCell ref="A16:Q16"/>
    <mergeCell ref="A23:Q23"/>
    <mergeCell ref="A1:Q1"/>
    <mergeCell ref="A2:Q2"/>
    <mergeCell ref="A3:P3"/>
    <mergeCell ref="A5:Q5"/>
    <mergeCell ref="A11:Q11"/>
  </mergeCells>
  <conditionalFormatting sqref="A6:A10">
    <cfRule type="expression" dxfId="349" priority="3">
      <formula>$A6="Completed"</formula>
    </cfRule>
    <cfRule type="expression" dxfId="348" priority="4">
      <formula>$A6="In Progress"</formula>
    </cfRule>
    <cfRule type="expression" dxfId="347" priority="5">
      <formula>$A6="Not Started"</formula>
    </cfRule>
    <cfRule type="expression" dxfId="346" priority="6">
      <formula>$A6="Research"</formula>
    </cfRule>
    <cfRule type="expression" dxfId="345" priority="7">
      <formula>$A6="Project"</formula>
    </cfRule>
    <cfRule type="expression" dxfId="344" priority="8">
      <formula>$A6="Optional"</formula>
    </cfRule>
  </conditionalFormatting>
  <conditionalFormatting sqref="A12:A15">
    <cfRule type="expression" dxfId="343" priority="11">
      <formula>$A12="Completed"</formula>
    </cfRule>
    <cfRule type="expression" dxfId="342" priority="12">
      <formula>$A12="In Progress"</formula>
    </cfRule>
    <cfRule type="expression" dxfId="341" priority="13">
      <formula>$A12="Not Started"</formula>
    </cfRule>
    <cfRule type="expression" dxfId="340" priority="14">
      <formula>$A12="Research"</formula>
    </cfRule>
    <cfRule type="expression" dxfId="339" priority="15">
      <formula>$A12="Project"</formula>
    </cfRule>
    <cfRule type="expression" dxfId="338" priority="16">
      <formula>$A12="Optional"</formula>
    </cfRule>
  </conditionalFormatting>
  <conditionalFormatting sqref="A17:A22">
    <cfRule type="expression" dxfId="337" priority="19">
      <formula>$A17="Completed"</formula>
    </cfRule>
    <cfRule type="expression" dxfId="336" priority="20">
      <formula>$A17="In Progress"</formula>
    </cfRule>
    <cfRule type="expression" dxfId="335" priority="21">
      <formula>$A17="Not Started"</formula>
    </cfRule>
    <cfRule type="expression" dxfId="334" priority="22">
      <formula>$A17="Research"</formula>
    </cfRule>
    <cfRule type="expression" dxfId="333" priority="23">
      <formula>$A17="Project"</formula>
    </cfRule>
    <cfRule type="expression" dxfId="332" priority="24">
      <formula>$A17="Optional"</formula>
    </cfRule>
  </conditionalFormatting>
  <conditionalFormatting sqref="A24:A29">
    <cfRule type="expression" dxfId="331" priority="27">
      <formula>$A24="Completed"</formula>
    </cfRule>
    <cfRule type="expression" dxfId="330" priority="28">
      <formula>$A24="In Progress"</formula>
    </cfRule>
    <cfRule type="expression" dxfId="329" priority="29">
      <formula>$A24="Not Started"</formula>
    </cfRule>
    <cfRule type="expression" dxfId="328" priority="30">
      <formula>$A24="Research"</formula>
    </cfRule>
    <cfRule type="expression" dxfId="327" priority="31">
      <formula>$A24="Project"</formula>
    </cfRule>
    <cfRule type="expression" dxfId="326" priority="32">
      <formula>$A24="Optional"</formula>
    </cfRule>
  </conditionalFormatting>
  <conditionalFormatting sqref="Q3">
    <cfRule type="dataBar" priority="2">
      <dataBar>
        <cfvo type="num" val="0"/>
        <cfvo type="num" val="100"/>
        <color rgb="FF8FC1E9"/>
      </dataBar>
      <extLst>
        <ext xmlns:x14="http://schemas.microsoft.com/office/spreadsheetml/2009/9/main" uri="{B025F937-C7B1-47D3-B67F-A62EFF666E3E}">
          <x14:id>{DB378AA8-5090-4A68-8DAA-1A31E4ACDAD3}</x14:id>
        </ext>
      </extLst>
    </cfRule>
  </conditionalFormatting>
  <conditionalFormatting sqref="Q6:Q10">
    <cfRule type="expression" dxfId="325" priority="9">
      <formula>AND($Q6&lt;&gt;"",$Q6&lt;TODAY())</formula>
    </cfRule>
    <cfRule type="expression" dxfId="324" priority="10">
      <formula>AND($Q6&lt;&gt;"",$Q6&gt;=TODAY(),$Q6&lt;=TODAY()+3)</formula>
    </cfRule>
  </conditionalFormatting>
  <conditionalFormatting sqref="Q12:Q15">
    <cfRule type="expression" dxfId="323" priority="17">
      <formula>AND($Q12&lt;&gt;"",$Q12&lt;TODAY())</formula>
    </cfRule>
    <cfRule type="expression" dxfId="322" priority="18">
      <formula>AND($Q12&lt;&gt;"",$Q12&gt;=TODAY(),$Q12&lt;=TODAY()+3)</formula>
    </cfRule>
  </conditionalFormatting>
  <conditionalFormatting sqref="Q17:Q22">
    <cfRule type="expression" dxfId="321" priority="25">
      <formula>AND($Q17&lt;&gt;"",$Q17&lt;TODAY())</formula>
    </cfRule>
    <cfRule type="expression" dxfId="320" priority="26">
      <formula>AND($Q17&lt;&gt;"",$Q17&gt;=TODAY(),$Q17&lt;=TODAY()+3)</formula>
    </cfRule>
  </conditionalFormatting>
  <conditionalFormatting sqref="Q24:Q29">
    <cfRule type="expression" dxfId="319" priority="33">
      <formula>AND($Q24&lt;&gt;"",$Q24&lt;TODAY())</formula>
    </cfRule>
    <cfRule type="expression" dxfId="318" priority="34">
      <formula>AND($Q24&lt;&gt;"",$Q24&gt;=TODAY(),$Q24&lt;=TODAY()+3)</formula>
    </cfRule>
  </conditionalFormatting>
  <dataValidations count="3">
    <dataValidation type="list" allowBlank="1" sqref="P6:P10 P12:P15 P17:P22 P24:P29" xr:uid="{00000000-0002-0000-0700-000000000000}">
      <formula1>"0,1,2,3,4,5,6,7"</formula1>
      <formula2>0</formula2>
    </dataValidation>
    <dataValidation type="list" allowBlank="1" sqref="A6:A10 A24:A29 A17:A22 A12:A15" xr:uid="{00000000-0002-0000-0700-000001000000}">
      <formula1>"Completed,In Progress,Not Started,Research,Project,Optional"</formula1>
      <formula2>0</formula2>
    </dataValidation>
    <dataValidation type="list" allowBlank="1" sqref="D6:D10 D24:D29 D17:D22 D12:D15" xr:uid="{00000000-0002-0000-0700-000002000000}">
      <formula1>"Intermediate,Advanced,Expert,Research-Level"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B378AA8-5090-4A68-8DAA-1A31E4ACDAD3}">
            <x14:dataBar axisPosition="none">
              <x14:cfvo type="num">
                <xm:f>0</xm:f>
              </x14:cfvo>
              <x14:cfvo type="num">
                <xm:f>100</xm:f>
              </x14:cfvo>
              <x14:negativeFillColor rgb="FF8FC1E9"/>
            </x14:dataBar>
          </x14:cfRule>
          <xm:sqref>Q3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24"/>
  <sheetViews>
    <sheetView showGridLines="0" zoomScaleNormal="100" workbookViewId="0">
      <pane ySplit="4" topLeftCell="A15" activePane="bottomLeft" state="frozen"/>
      <selection pane="bottomLeft" activeCell="F14" sqref="F14"/>
    </sheetView>
  </sheetViews>
  <sheetFormatPr defaultColWidth="8.6640625" defaultRowHeight="14.4" x14ac:dyDescent="0.3"/>
  <cols>
    <col min="1" max="1" width="12" customWidth="1"/>
    <col min="2" max="2" width="22" customWidth="1"/>
    <col min="3" max="3" width="40.6640625" bestFit="1" customWidth="1"/>
    <col min="4" max="4" width="12" customWidth="1"/>
    <col min="5" max="5" width="22" customWidth="1"/>
    <col min="6" max="6" width="34" customWidth="1"/>
    <col min="7" max="7" width="9" customWidth="1"/>
    <col min="8" max="8" width="26" customWidth="1"/>
    <col min="9" max="9" width="30" customWidth="1"/>
    <col min="10" max="10" width="24" customWidth="1"/>
    <col min="11" max="11" width="36.5546875" bestFit="1" customWidth="1"/>
    <col min="12" max="12" width="30" customWidth="1"/>
    <col min="13" max="13" width="58.33203125" bestFit="1" customWidth="1"/>
    <col min="14" max="14" width="30" customWidth="1"/>
    <col min="15" max="15" width="13" customWidth="1"/>
    <col min="16" max="16" width="11" customWidth="1"/>
    <col min="17" max="17" width="13" customWidth="1"/>
  </cols>
  <sheetData>
    <row r="1" spans="1:17" ht="33.75" customHeight="1" x14ac:dyDescent="0.3">
      <c r="A1" s="19" t="s">
        <v>48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ht="15" customHeight="1" x14ac:dyDescent="0.3">
      <c r="A2" s="20" t="s">
        <v>1031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ht="19.5" customHeight="1" x14ac:dyDescent="0.3">
      <c r="A3" s="21" t="s">
        <v>1032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12">
        <f>ROUND(COUNTIF(A5:A24,"Completed")/SUMPRODUCT(COUNTIF(A5:A24,{"Completed","In Progress","Not Started","Research","Project","Optional"}))*100,0)</f>
        <v>0</v>
      </c>
    </row>
    <row r="4" spans="1:17" ht="31.5" customHeight="1" x14ac:dyDescent="0.3">
      <c r="A4" s="1" t="s">
        <v>58</v>
      </c>
      <c r="B4" s="1" t="s">
        <v>6</v>
      </c>
      <c r="C4" s="1" t="s">
        <v>7</v>
      </c>
      <c r="D4" s="1" t="s">
        <v>59</v>
      </c>
      <c r="E4" s="1" t="s">
        <v>60</v>
      </c>
      <c r="F4" s="1" t="s">
        <v>61</v>
      </c>
      <c r="G4" s="1" t="s">
        <v>62</v>
      </c>
      <c r="H4" s="1" t="s">
        <v>63</v>
      </c>
      <c r="I4" s="1" t="s">
        <v>64</v>
      </c>
      <c r="J4" s="1" t="s">
        <v>65</v>
      </c>
      <c r="K4" s="1" t="s">
        <v>66</v>
      </c>
      <c r="L4" s="1" t="s">
        <v>67</v>
      </c>
      <c r="M4" s="1" t="s">
        <v>68</v>
      </c>
      <c r="N4" s="1" t="s">
        <v>11</v>
      </c>
      <c r="O4" s="1" t="s">
        <v>69</v>
      </c>
      <c r="P4" s="1" t="s">
        <v>70</v>
      </c>
      <c r="Q4" s="1" t="s">
        <v>71</v>
      </c>
    </row>
    <row r="5" spans="1:17" ht="30" customHeight="1" x14ac:dyDescent="0.3">
      <c r="A5" s="18" t="s">
        <v>1033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3">
      <c r="A6" s="2" t="s">
        <v>73</v>
      </c>
      <c r="B6" s="2" t="s">
        <v>1033</v>
      </c>
      <c r="C6" s="2" t="s">
        <v>1034</v>
      </c>
      <c r="D6" s="2" t="s">
        <v>76</v>
      </c>
      <c r="E6" s="2" t="s">
        <v>1035</v>
      </c>
      <c r="F6" s="6" t="s">
        <v>1036</v>
      </c>
      <c r="G6" s="2">
        <v>3</v>
      </c>
      <c r="H6" s="6" t="s">
        <v>1037</v>
      </c>
      <c r="I6" s="6" t="s">
        <v>1038</v>
      </c>
      <c r="J6" s="6" t="s">
        <v>1039</v>
      </c>
      <c r="K6" s="6" t="s">
        <v>1040</v>
      </c>
      <c r="L6" s="6" t="s">
        <v>103</v>
      </c>
      <c r="M6" s="6" t="s">
        <v>1041</v>
      </c>
      <c r="N6" s="6" t="s">
        <v>1042</v>
      </c>
      <c r="O6" s="3"/>
      <c r="P6" s="2">
        <v>0</v>
      </c>
      <c r="Q6" s="3" t="str">
        <f t="shared" ref="Q6:Q12" si="0">IF(OR(O6="",P6=0),"",O6+CHOOSE(P6,1,3,7,14,30,90,365))</f>
        <v/>
      </c>
    </row>
    <row r="7" spans="1:17" ht="30" customHeight="1" x14ac:dyDescent="0.3">
      <c r="A7" s="4" t="s">
        <v>73</v>
      </c>
      <c r="B7" s="4" t="s">
        <v>1043</v>
      </c>
      <c r="C7" s="4" t="s">
        <v>1044</v>
      </c>
      <c r="D7" s="4" t="s">
        <v>76</v>
      </c>
      <c r="E7" s="4" t="s">
        <v>1033</v>
      </c>
      <c r="F7" s="7" t="s">
        <v>1045</v>
      </c>
      <c r="G7" s="4">
        <v>4</v>
      </c>
      <c r="H7" s="7" t="s">
        <v>1046</v>
      </c>
      <c r="I7" s="7" t="s">
        <v>1047</v>
      </c>
      <c r="J7" s="7" t="s">
        <v>1048</v>
      </c>
      <c r="K7" s="7" t="s">
        <v>1049</v>
      </c>
      <c r="L7" s="7" t="s">
        <v>103</v>
      </c>
      <c r="M7" s="7" t="s">
        <v>1050</v>
      </c>
      <c r="N7" s="7" t="s">
        <v>1051</v>
      </c>
      <c r="O7" s="5"/>
      <c r="P7" s="4">
        <v>0</v>
      </c>
      <c r="Q7" s="5" t="str">
        <f t="shared" si="0"/>
        <v/>
      </c>
    </row>
    <row r="8" spans="1:17" ht="30" customHeight="1" x14ac:dyDescent="0.3">
      <c r="A8" s="2" t="s">
        <v>73</v>
      </c>
      <c r="B8" s="2" t="s">
        <v>1052</v>
      </c>
      <c r="C8" s="2" t="s">
        <v>1053</v>
      </c>
      <c r="D8" s="2" t="s">
        <v>76</v>
      </c>
      <c r="E8" s="2" t="s">
        <v>1043</v>
      </c>
      <c r="F8" s="6" t="s">
        <v>1054</v>
      </c>
      <c r="G8" s="2">
        <v>3</v>
      </c>
      <c r="H8" s="6" t="s">
        <v>1055</v>
      </c>
      <c r="I8" s="6" t="s">
        <v>1056</v>
      </c>
      <c r="J8" s="6" t="s">
        <v>1057</v>
      </c>
      <c r="K8" s="6" t="s">
        <v>1058</v>
      </c>
      <c r="L8" s="6" t="s">
        <v>103</v>
      </c>
      <c r="M8" s="6" t="s">
        <v>1059</v>
      </c>
      <c r="N8" s="6" t="s">
        <v>1060</v>
      </c>
      <c r="O8" s="3"/>
      <c r="P8" s="2">
        <v>0</v>
      </c>
      <c r="Q8" s="3" t="str">
        <f t="shared" si="0"/>
        <v/>
      </c>
    </row>
    <row r="9" spans="1:17" ht="30" customHeight="1" x14ac:dyDescent="0.3">
      <c r="A9" s="4" t="s">
        <v>73</v>
      </c>
      <c r="B9" s="4" t="s">
        <v>1061</v>
      </c>
      <c r="C9" s="4" t="s">
        <v>1062</v>
      </c>
      <c r="D9" s="4" t="s">
        <v>76</v>
      </c>
      <c r="E9" s="4" t="s">
        <v>1035</v>
      </c>
      <c r="F9" s="7" t="s">
        <v>1063</v>
      </c>
      <c r="G9" s="4">
        <v>3</v>
      </c>
      <c r="H9" s="7" t="s">
        <v>1064</v>
      </c>
      <c r="I9" s="7" t="s">
        <v>1065</v>
      </c>
      <c r="J9" s="7" t="s">
        <v>1066</v>
      </c>
      <c r="K9" s="7" t="s">
        <v>1067</v>
      </c>
      <c r="L9" s="7" t="s">
        <v>103</v>
      </c>
      <c r="M9" s="7" t="s">
        <v>1068</v>
      </c>
      <c r="N9" s="7" t="s">
        <v>1069</v>
      </c>
      <c r="O9" s="5"/>
      <c r="P9" s="4">
        <v>0</v>
      </c>
      <c r="Q9" s="5" t="str">
        <f t="shared" si="0"/>
        <v/>
      </c>
    </row>
    <row r="10" spans="1:17" ht="30" customHeight="1" x14ac:dyDescent="0.3">
      <c r="A10" s="2" t="s">
        <v>73</v>
      </c>
      <c r="B10" s="2" t="s">
        <v>1070</v>
      </c>
      <c r="C10" s="2" t="s">
        <v>1071</v>
      </c>
      <c r="D10" s="2" t="s">
        <v>76</v>
      </c>
      <c r="E10" s="2" t="s">
        <v>1061</v>
      </c>
      <c r="F10" s="6" t="s">
        <v>1072</v>
      </c>
      <c r="G10" s="2">
        <v>3</v>
      </c>
      <c r="H10" s="6" t="s">
        <v>1073</v>
      </c>
      <c r="I10" s="6" t="s">
        <v>1074</v>
      </c>
      <c r="J10" s="6" t="s">
        <v>103</v>
      </c>
      <c r="K10" s="6" t="s">
        <v>1075</v>
      </c>
      <c r="L10" s="6" t="s">
        <v>103</v>
      </c>
      <c r="M10" s="6" t="s">
        <v>1076</v>
      </c>
      <c r="N10" s="6" t="s">
        <v>1077</v>
      </c>
      <c r="O10" s="3"/>
      <c r="P10" s="2">
        <v>0</v>
      </c>
      <c r="Q10" s="3" t="str">
        <f t="shared" si="0"/>
        <v/>
      </c>
    </row>
    <row r="11" spans="1:17" ht="30" customHeight="1" x14ac:dyDescent="0.3">
      <c r="A11" s="4" t="s">
        <v>73</v>
      </c>
      <c r="B11" s="4" t="s">
        <v>1078</v>
      </c>
      <c r="C11" s="4" t="s">
        <v>1079</v>
      </c>
      <c r="D11" s="4" t="s">
        <v>76</v>
      </c>
      <c r="E11" s="4" t="s">
        <v>1070</v>
      </c>
      <c r="F11" s="7" t="s">
        <v>1080</v>
      </c>
      <c r="G11" s="4">
        <v>2</v>
      </c>
      <c r="H11" s="7" t="s">
        <v>1081</v>
      </c>
      <c r="I11" s="7" t="s">
        <v>1082</v>
      </c>
      <c r="J11" s="7" t="s">
        <v>103</v>
      </c>
      <c r="K11" s="7" t="s">
        <v>103</v>
      </c>
      <c r="L11" s="7" t="s">
        <v>103</v>
      </c>
      <c r="M11" s="7" t="s">
        <v>1083</v>
      </c>
      <c r="N11" s="7" t="s">
        <v>1084</v>
      </c>
      <c r="O11" s="5"/>
      <c r="P11" s="4">
        <v>0</v>
      </c>
      <c r="Q11" s="5" t="str">
        <f t="shared" si="0"/>
        <v/>
      </c>
    </row>
    <row r="12" spans="1:17" ht="30" customHeight="1" x14ac:dyDescent="0.3">
      <c r="A12" s="2" t="s">
        <v>73</v>
      </c>
      <c r="B12" s="2" t="s">
        <v>1085</v>
      </c>
      <c r="C12" s="2" t="s">
        <v>1086</v>
      </c>
      <c r="D12" s="2" t="s">
        <v>76</v>
      </c>
      <c r="E12" s="2" t="s">
        <v>1070</v>
      </c>
      <c r="F12" s="6" t="s">
        <v>1087</v>
      </c>
      <c r="G12" s="2">
        <v>4</v>
      </c>
      <c r="H12" s="6" t="s">
        <v>1088</v>
      </c>
      <c r="I12" s="6" t="s">
        <v>1089</v>
      </c>
      <c r="J12" s="6" t="s">
        <v>103</v>
      </c>
      <c r="K12" s="6" t="s">
        <v>1090</v>
      </c>
      <c r="L12" s="6" t="s">
        <v>103</v>
      </c>
      <c r="M12" s="6" t="s">
        <v>1091</v>
      </c>
      <c r="N12" s="6" t="s">
        <v>1092</v>
      </c>
      <c r="O12" s="3"/>
      <c r="P12" s="2">
        <v>0</v>
      </c>
      <c r="Q12" s="3" t="str">
        <f t="shared" si="0"/>
        <v/>
      </c>
    </row>
    <row r="13" spans="1:17" ht="30" customHeight="1" x14ac:dyDescent="0.3">
      <c r="A13" s="18" t="s">
        <v>1093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3">
      <c r="A14" s="4" t="s">
        <v>73</v>
      </c>
      <c r="B14" s="4" t="s">
        <v>1094</v>
      </c>
      <c r="C14" s="4" t="s">
        <v>1095</v>
      </c>
      <c r="D14" s="4" t="s">
        <v>76</v>
      </c>
      <c r="E14" s="4" t="s">
        <v>1096</v>
      </c>
      <c r="F14" s="7" t="s">
        <v>1097</v>
      </c>
      <c r="G14" s="4">
        <v>3</v>
      </c>
      <c r="H14" s="7" t="s">
        <v>1098</v>
      </c>
      <c r="I14" s="7" t="s">
        <v>1099</v>
      </c>
      <c r="J14" s="7" t="s">
        <v>1100</v>
      </c>
      <c r="K14" s="7" t="s">
        <v>1101</v>
      </c>
      <c r="L14" s="7" t="s">
        <v>103</v>
      </c>
      <c r="M14" s="7" t="s">
        <v>1102</v>
      </c>
      <c r="N14" s="7" t="s">
        <v>1103</v>
      </c>
      <c r="O14" s="5"/>
      <c r="P14" s="4">
        <v>0</v>
      </c>
      <c r="Q14" s="5" t="str">
        <f>IF(OR(O14="",P14=0),"",O14+CHOOSE(P14,1,3,7,14,30,90,365))</f>
        <v/>
      </c>
    </row>
    <row r="15" spans="1:17" ht="30" customHeight="1" x14ac:dyDescent="0.3">
      <c r="A15" s="2" t="s">
        <v>73</v>
      </c>
      <c r="B15" s="2" t="s">
        <v>1104</v>
      </c>
      <c r="C15" s="2" t="s">
        <v>1105</v>
      </c>
      <c r="D15" s="2" t="s">
        <v>76</v>
      </c>
      <c r="E15" s="2" t="s">
        <v>1106</v>
      </c>
      <c r="F15" s="6" t="s">
        <v>1107</v>
      </c>
      <c r="G15" s="2">
        <v>2</v>
      </c>
      <c r="H15" s="6" t="s">
        <v>1108</v>
      </c>
      <c r="I15" s="6" t="s">
        <v>1109</v>
      </c>
      <c r="J15" s="6" t="s">
        <v>1110</v>
      </c>
      <c r="K15" s="6" t="s">
        <v>1111</v>
      </c>
      <c r="L15" s="6" t="s">
        <v>1112</v>
      </c>
      <c r="M15" s="6" t="s">
        <v>1113</v>
      </c>
      <c r="N15" s="6" t="s">
        <v>1114</v>
      </c>
      <c r="O15" s="3"/>
      <c r="P15" s="2">
        <v>0</v>
      </c>
      <c r="Q15" s="3" t="str">
        <f>IF(OR(O15="",P15=0),"",O15+CHOOSE(P15,1,3,7,14,30,90,365))</f>
        <v/>
      </c>
    </row>
    <row r="16" spans="1:17" ht="30" customHeight="1" x14ac:dyDescent="0.3">
      <c r="A16" s="4" t="s">
        <v>73</v>
      </c>
      <c r="B16" s="4" t="s">
        <v>1115</v>
      </c>
      <c r="C16" s="4" t="s">
        <v>1116</v>
      </c>
      <c r="D16" s="4" t="s">
        <v>76</v>
      </c>
      <c r="E16" s="4" t="s">
        <v>1117</v>
      </c>
      <c r="F16" s="7" t="s">
        <v>1118</v>
      </c>
      <c r="G16" s="4">
        <v>4</v>
      </c>
      <c r="H16" s="7" t="s">
        <v>1119</v>
      </c>
      <c r="I16" s="7" t="s">
        <v>1120</v>
      </c>
      <c r="J16" s="7" t="s">
        <v>1121</v>
      </c>
      <c r="K16" s="7" t="s">
        <v>1122</v>
      </c>
      <c r="L16" s="7" t="s">
        <v>1123</v>
      </c>
      <c r="M16" s="7" t="s">
        <v>1124</v>
      </c>
      <c r="N16" s="7" t="s">
        <v>1125</v>
      </c>
      <c r="O16" s="5"/>
      <c r="P16" s="4">
        <v>0</v>
      </c>
      <c r="Q16" s="5" t="str">
        <f>IF(OR(O16="",P16=0),"",O16+CHOOSE(P16,1,3,7,14,30,90,365))</f>
        <v/>
      </c>
    </row>
    <row r="17" spans="1:17" ht="30" customHeight="1" x14ac:dyDescent="0.3">
      <c r="A17" s="2" t="s">
        <v>73</v>
      </c>
      <c r="B17" s="2" t="s">
        <v>1126</v>
      </c>
      <c r="C17" s="2" t="s">
        <v>1127</v>
      </c>
      <c r="D17" s="2" t="s">
        <v>138</v>
      </c>
      <c r="E17" s="2" t="s">
        <v>1128</v>
      </c>
      <c r="F17" s="6" t="s">
        <v>1129</v>
      </c>
      <c r="G17" s="2">
        <v>4</v>
      </c>
      <c r="H17" s="6" t="s">
        <v>1130</v>
      </c>
      <c r="I17" s="6" t="s">
        <v>1131</v>
      </c>
      <c r="J17" s="6" t="s">
        <v>1132</v>
      </c>
      <c r="K17" s="6" t="s">
        <v>1133</v>
      </c>
      <c r="L17" s="6" t="s">
        <v>103</v>
      </c>
      <c r="M17" s="6" t="s">
        <v>1134</v>
      </c>
      <c r="N17" s="6" t="s">
        <v>1135</v>
      </c>
      <c r="O17" s="3"/>
      <c r="P17" s="2">
        <v>0</v>
      </c>
      <c r="Q17" s="3" t="str">
        <f>IF(OR(O17="",P17=0),"",O17+CHOOSE(P17,1,3,7,14,30,90,365))</f>
        <v/>
      </c>
    </row>
    <row r="18" spans="1:17" ht="30" customHeight="1" x14ac:dyDescent="0.3">
      <c r="A18" s="18" t="s">
        <v>1136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</row>
    <row r="19" spans="1:17" ht="30" customHeight="1" x14ac:dyDescent="0.3">
      <c r="A19" s="4" t="s">
        <v>73</v>
      </c>
      <c r="B19" s="4" t="s">
        <v>1137</v>
      </c>
      <c r="C19" s="4" t="s">
        <v>1138</v>
      </c>
      <c r="D19" s="4" t="s">
        <v>76</v>
      </c>
      <c r="E19" s="4" t="s">
        <v>1139</v>
      </c>
      <c r="F19" s="7" t="s">
        <v>1140</v>
      </c>
      <c r="G19" s="4">
        <v>2</v>
      </c>
      <c r="H19" s="7" t="s">
        <v>1141</v>
      </c>
      <c r="I19" s="7" t="s">
        <v>1142</v>
      </c>
      <c r="J19" s="7" t="s">
        <v>1143</v>
      </c>
      <c r="K19" s="7" t="s">
        <v>1144</v>
      </c>
      <c r="L19" s="7" t="s">
        <v>103</v>
      </c>
      <c r="M19" s="7" t="s">
        <v>1145</v>
      </c>
      <c r="N19" s="7" t="s">
        <v>1146</v>
      </c>
      <c r="O19" s="5"/>
      <c r="P19" s="4">
        <v>0</v>
      </c>
      <c r="Q19" s="5" t="str">
        <f t="shared" ref="Q19:Q24" si="1">IF(OR(O19="",P19=0),"",O19+CHOOSE(P19,1,3,7,14,30,90,365))</f>
        <v/>
      </c>
    </row>
    <row r="20" spans="1:17" ht="30" customHeight="1" x14ac:dyDescent="0.3">
      <c r="A20" s="2" t="s">
        <v>73</v>
      </c>
      <c r="B20" s="2" t="s">
        <v>1147</v>
      </c>
      <c r="C20" s="2" t="s">
        <v>1148</v>
      </c>
      <c r="D20" s="2" t="s">
        <v>76</v>
      </c>
      <c r="E20" s="2" t="s">
        <v>1137</v>
      </c>
      <c r="F20" s="6" t="s">
        <v>1149</v>
      </c>
      <c r="G20" s="2">
        <v>3</v>
      </c>
      <c r="H20" s="6" t="s">
        <v>1150</v>
      </c>
      <c r="I20" s="6" t="s">
        <v>1151</v>
      </c>
      <c r="J20" s="6" t="s">
        <v>1152</v>
      </c>
      <c r="K20" s="6" t="s">
        <v>1153</v>
      </c>
      <c r="L20" s="6" t="s">
        <v>103</v>
      </c>
      <c r="M20" s="6" t="s">
        <v>1154</v>
      </c>
      <c r="N20" s="6" t="s">
        <v>1155</v>
      </c>
      <c r="O20" s="3"/>
      <c r="P20" s="2">
        <v>0</v>
      </c>
      <c r="Q20" s="3" t="str">
        <f t="shared" si="1"/>
        <v/>
      </c>
    </row>
    <row r="21" spans="1:17" ht="30" customHeight="1" x14ac:dyDescent="0.3">
      <c r="A21" s="4" t="s">
        <v>73</v>
      </c>
      <c r="B21" s="4" t="s">
        <v>1156</v>
      </c>
      <c r="C21" s="4" t="s">
        <v>1157</v>
      </c>
      <c r="D21" s="4" t="s">
        <v>76</v>
      </c>
      <c r="E21" s="4" t="s">
        <v>1052</v>
      </c>
      <c r="F21" s="7" t="s">
        <v>1158</v>
      </c>
      <c r="G21" s="4">
        <v>3</v>
      </c>
      <c r="H21" s="7" t="s">
        <v>1159</v>
      </c>
      <c r="I21" s="7" t="s">
        <v>1160</v>
      </c>
      <c r="J21" s="7" t="s">
        <v>1161</v>
      </c>
      <c r="K21" s="7" t="s">
        <v>1162</v>
      </c>
      <c r="L21" s="7" t="s">
        <v>103</v>
      </c>
      <c r="M21" s="7" t="s">
        <v>1163</v>
      </c>
      <c r="N21" s="7" t="s">
        <v>1164</v>
      </c>
      <c r="O21" s="5"/>
      <c r="P21" s="4">
        <v>0</v>
      </c>
      <c r="Q21" s="5" t="str">
        <f t="shared" si="1"/>
        <v/>
      </c>
    </row>
    <row r="22" spans="1:17" ht="30" customHeight="1" x14ac:dyDescent="0.3">
      <c r="A22" s="2" t="s">
        <v>73</v>
      </c>
      <c r="B22" s="2" t="s">
        <v>1165</v>
      </c>
      <c r="C22" s="2" t="s">
        <v>1166</v>
      </c>
      <c r="D22" s="2" t="s">
        <v>76</v>
      </c>
      <c r="E22" s="2" t="s">
        <v>1156</v>
      </c>
      <c r="F22" s="6" t="s">
        <v>1167</v>
      </c>
      <c r="G22" s="2">
        <v>3</v>
      </c>
      <c r="H22" s="6" t="s">
        <v>1168</v>
      </c>
      <c r="I22" s="6" t="s">
        <v>1169</v>
      </c>
      <c r="J22" s="6" t="s">
        <v>103</v>
      </c>
      <c r="K22" s="6" t="s">
        <v>1170</v>
      </c>
      <c r="L22" s="6" t="s">
        <v>103</v>
      </c>
      <c r="M22" s="6" t="s">
        <v>1171</v>
      </c>
      <c r="N22" s="6" t="s">
        <v>1172</v>
      </c>
      <c r="O22" s="3"/>
      <c r="P22" s="2">
        <v>0</v>
      </c>
      <c r="Q22" s="3" t="str">
        <f t="shared" si="1"/>
        <v/>
      </c>
    </row>
    <row r="23" spans="1:17" ht="30" customHeight="1" x14ac:dyDescent="0.3">
      <c r="A23" s="4" t="s">
        <v>73</v>
      </c>
      <c r="B23" s="4" t="s">
        <v>1173</v>
      </c>
      <c r="C23" s="4" t="s">
        <v>1174</v>
      </c>
      <c r="D23" s="4" t="s">
        <v>76</v>
      </c>
      <c r="E23" s="4" t="s">
        <v>1165</v>
      </c>
      <c r="F23" s="7" t="s">
        <v>1175</v>
      </c>
      <c r="G23" s="4">
        <v>2</v>
      </c>
      <c r="H23" s="7" t="s">
        <v>1176</v>
      </c>
      <c r="I23" s="7" t="s">
        <v>1177</v>
      </c>
      <c r="J23" s="7" t="s">
        <v>1178</v>
      </c>
      <c r="K23" s="7" t="s">
        <v>1179</v>
      </c>
      <c r="L23" s="7" t="s">
        <v>103</v>
      </c>
      <c r="M23" s="7" t="s">
        <v>1180</v>
      </c>
      <c r="N23" s="7" t="s">
        <v>1181</v>
      </c>
      <c r="O23" s="5"/>
      <c r="P23" s="4">
        <v>0</v>
      </c>
      <c r="Q23" s="5" t="str">
        <f t="shared" si="1"/>
        <v/>
      </c>
    </row>
    <row r="24" spans="1:17" ht="30" customHeight="1" x14ac:dyDescent="0.3">
      <c r="A24" s="2" t="s">
        <v>73</v>
      </c>
      <c r="B24" s="2" t="s">
        <v>1182</v>
      </c>
      <c r="C24" s="2" t="s">
        <v>1183</v>
      </c>
      <c r="D24" s="2" t="s">
        <v>76</v>
      </c>
      <c r="E24" s="2" t="s">
        <v>1184</v>
      </c>
      <c r="F24" s="6" t="s">
        <v>1185</v>
      </c>
      <c r="G24" s="2">
        <v>3</v>
      </c>
      <c r="H24" s="6" t="s">
        <v>1186</v>
      </c>
      <c r="I24" s="6" t="s">
        <v>1187</v>
      </c>
      <c r="J24" s="6" t="s">
        <v>1188</v>
      </c>
      <c r="K24" s="6" t="s">
        <v>1189</v>
      </c>
      <c r="L24" s="6" t="s">
        <v>1190</v>
      </c>
      <c r="M24" s="6" t="s">
        <v>1191</v>
      </c>
      <c r="N24" s="6" t="s">
        <v>1192</v>
      </c>
      <c r="O24" s="3"/>
      <c r="P24" s="2">
        <v>0</v>
      </c>
      <c r="Q24" s="3" t="str">
        <f t="shared" si="1"/>
        <v/>
      </c>
    </row>
  </sheetData>
  <autoFilter ref="A4:Q4" xr:uid="{00000000-0009-0000-0000-000008000000}"/>
  <mergeCells count="6">
    <mergeCell ref="A18:Q18"/>
    <mergeCell ref="A1:Q1"/>
    <mergeCell ref="A2:Q2"/>
    <mergeCell ref="A3:P3"/>
    <mergeCell ref="A5:Q5"/>
    <mergeCell ref="A13:Q13"/>
  </mergeCells>
  <conditionalFormatting sqref="A6:A12">
    <cfRule type="expression" dxfId="317" priority="3">
      <formula>$A6="Completed"</formula>
    </cfRule>
    <cfRule type="expression" dxfId="316" priority="4">
      <formula>$A6="In Progress"</formula>
    </cfRule>
    <cfRule type="expression" dxfId="315" priority="5">
      <formula>$A6="Not Started"</formula>
    </cfRule>
    <cfRule type="expression" dxfId="314" priority="6">
      <formula>$A6="Research"</formula>
    </cfRule>
    <cfRule type="expression" dxfId="313" priority="7">
      <formula>$A6="Project"</formula>
    </cfRule>
    <cfRule type="expression" dxfId="312" priority="8">
      <formula>$A6="Optional"</formula>
    </cfRule>
  </conditionalFormatting>
  <conditionalFormatting sqref="A14:A17">
    <cfRule type="expression" dxfId="311" priority="11">
      <formula>$A14="Completed"</formula>
    </cfRule>
    <cfRule type="expression" dxfId="310" priority="12">
      <formula>$A14="In Progress"</formula>
    </cfRule>
    <cfRule type="expression" dxfId="309" priority="13">
      <formula>$A14="Not Started"</formula>
    </cfRule>
    <cfRule type="expression" dxfId="308" priority="14">
      <formula>$A14="Research"</formula>
    </cfRule>
    <cfRule type="expression" dxfId="307" priority="15">
      <formula>$A14="Project"</formula>
    </cfRule>
    <cfRule type="expression" dxfId="306" priority="16">
      <formula>$A14="Optional"</formula>
    </cfRule>
  </conditionalFormatting>
  <conditionalFormatting sqref="A19:A24">
    <cfRule type="expression" dxfId="305" priority="19">
      <formula>$A19="Completed"</formula>
    </cfRule>
    <cfRule type="expression" dxfId="304" priority="20">
      <formula>$A19="In Progress"</formula>
    </cfRule>
    <cfRule type="expression" dxfId="303" priority="21">
      <formula>$A19="Not Started"</formula>
    </cfRule>
    <cfRule type="expression" dxfId="302" priority="22">
      <formula>$A19="Research"</formula>
    </cfRule>
    <cfRule type="expression" dxfId="301" priority="23">
      <formula>$A19="Project"</formula>
    </cfRule>
    <cfRule type="expression" dxfId="300" priority="24">
      <formula>$A19="Optional"</formula>
    </cfRule>
  </conditionalFormatting>
  <conditionalFormatting sqref="Q3">
    <cfRule type="dataBar" priority="2">
      <dataBar>
        <cfvo type="num" val="0"/>
        <cfvo type="num" val="100"/>
        <color rgb="FF8FC1E9"/>
      </dataBar>
      <extLst>
        <ext xmlns:x14="http://schemas.microsoft.com/office/spreadsheetml/2009/9/main" uri="{B025F937-C7B1-47D3-B67F-A62EFF666E3E}">
          <x14:id>{82797396-6598-4850-8730-1BFDFE5FF87E}</x14:id>
        </ext>
      </extLst>
    </cfRule>
  </conditionalFormatting>
  <conditionalFormatting sqref="Q6:Q12">
    <cfRule type="expression" dxfId="299" priority="9">
      <formula>AND($Q6&lt;&gt;"",$Q6&lt;TODAY())</formula>
    </cfRule>
    <cfRule type="expression" dxfId="298" priority="10">
      <formula>AND($Q6&lt;&gt;"",$Q6&gt;=TODAY(),$Q6&lt;=TODAY()+3)</formula>
    </cfRule>
  </conditionalFormatting>
  <conditionalFormatting sqref="Q14:Q17">
    <cfRule type="expression" dxfId="297" priority="17">
      <formula>AND($Q14&lt;&gt;"",$Q14&lt;TODAY())</formula>
    </cfRule>
    <cfRule type="expression" dxfId="296" priority="18">
      <formula>AND($Q14&lt;&gt;"",$Q14&gt;=TODAY(),$Q14&lt;=TODAY()+3)</formula>
    </cfRule>
  </conditionalFormatting>
  <conditionalFormatting sqref="Q19:Q24">
    <cfRule type="expression" dxfId="295" priority="25">
      <formula>AND($Q19&lt;&gt;"",$Q19&lt;TODAY())</formula>
    </cfRule>
    <cfRule type="expression" dxfId="294" priority="26">
      <formula>AND($Q19&lt;&gt;"",$Q19&gt;=TODAY(),$Q19&lt;=TODAY()+3)</formula>
    </cfRule>
  </conditionalFormatting>
  <dataValidations count="3">
    <dataValidation type="list" allowBlank="1" sqref="P6:P12 P14:P17 P19:P24" xr:uid="{00000000-0002-0000-0800-000000000000}">
      <formula1>"0,1,2,3,4,5,6,7"</formula1>
      <formula2>0</formula2>
    </dataValidation>
    <dataValidation type="list" allowBlank="1" sqref="A6:A12 A19:A24 A14:A17" xr:uid="{00000000-0002-0000-0800-000001000000}">
      <formula1>"Completed,In Progress,Not Started,Research,Project,Optional"</formula1>
      <formula2>0</formula2>
    </dataValidation>
    <dataValidation type="list" allowBlank="1" sqref="D6:D12 D19:D24 D14:D17" xr:uid="{00000000-0002-0000-0800-000002000000}">
      <formula1>"Intermediate,Advanced,Expert,Research-Level"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2797396-6598-4850-8730-1BFDFE5FF87E}">
            <x14:dataBar axisPosition="none">
              <x14:cfvo type="num">
                <xm:f>0</xm:f>
              </x14:cfvo>
              <x14:cfvo type="num">
                <xm:f>100</xm:f>
              </x14:cfvo>
              <x14:negativeFillColor rgb="FF8FC1E9"/>
            </x14:dataBar>
          </x14:cfRule>
          <xm:sqref>Q3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28"/>
  <sheetViews>
    <sheetView showGridLines="0" zoomScaleNormal="100" workbookViewId="0">
      <pane ySplit="4" topLeftCell="A12" activePane="bottomLeft" state="frozen"/>
      <selection pane="bottomLeft" activeCell="B16" sqref="B16:B19"/>
    </sheetView>
  </sheetViews>
  <sheetFormatPr defaultColWidth="8.6640625" defaultRowHeight="14.4" x14ac:dyDescent="0.3"/>
  <cols>
    <col min="1" max="1" width="12" customWidth="1"/>
    <col min="2" max="2" width="22" customWidth="1"/>
    <col min="3" max="3" width="30" customWidth="1"/>
    <col min="4" max="4" width="12" customWidth="1"/>
    <col min="5" max="5" width="22" customWidth="1"/>
    <col min="6" max="6" width="34" customWidth="1"/>
    <col min="7" max="7" width="9" customWidth="1"/>
    <col min="8" max="8" width="26" customWidth="1"/>
    <col min="9" max="9" width="30" customWidth="1"/>
    <col min="10" max="10" width="24" customWidth="1"/>
    <col min="11" max="12" width="30" customWidth="1"/>
    <col min="13" max="13" width="40" customWidth="1"/>
    <col min="14" max="14" width="30" customWidth="1"/>
    <col min="15" max="15" width="13" customWidth="1"/>
    <col min="16" max="16" width="11" customWidth="1"/>
    <col min="17" max="17" width="13" customWidth="1"/>
  </cols>
  <sheetData>
    <row r="1" spans="1:17" ht="33.75" customHeight="1" x14ac:dyDescent="0.3">
      <c r="A1" s="19" t="s">
        <v>49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ht="15" customHeight="1" x14ac:dyDescent="0.3">
      <c r="A2" s="20" t="s">
        <v>1193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ht="19.5" customHeight="1" x14ac:dyDescent="0.3">
      <c r="A3" s="21" t="s">
        <v>828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12">
        <f>ROUND(COUNTIF(A5:A28,"Completed")/SUMPRODUCT(COUNTIF(A5:A28,{"Completed","In Progress","Not Started","Research","Project","Optional"}))*100,0)</f>
        <v>0</v>
      </c>
    </row>
    <row r="4" spans="1:17" ht="31.5" customHeight="1" x14ac:dyDescent="0.3">
      <c r="A4" s="1" t="s">
        <v>58</v>
      </c>
      <c r="B4" s="1" t="s">
        <v>6</v>
      </c>
      <c r="C4" s="1" t="s">
        <v>7</v>
      </c>
      <c r="D4" s="1" t="s">
        <v>59</v>
      </c>
      <c r="E4" s="1" t="s">
        <v>60</v>
      </c>
      <c r="F4" s="1" t="s">
        <v>61</v>
      </c>
      <c r="G4" s="1" t="s">
        <v>62</v>
      </c>
      <c r="H4" s="1" t="s">
        <v>63</v>
      </c>
      <c r="I4" s="1" t="s">
        <v>64</v>
      </c>
      <c r="J4" s="1" t="s">
        <v>65</v>
      </c>
      <c r="K4" s="1" t="s">
        <v>66</v>
      </c>
      <c r="L4" s="1" t="s">
        <v>67</v>
      </c>
      <c r="M4" s="1" t="s">
        <v>68</v>
      </c>
      <c r="N4" s="1" t="s">
        <v>11</v>
      </c>
      <c r="O4" s="1" t="s">
        <v>69</v>
      </c>
      <c r="P4" s="1" t="s">
        <v>70</v>
      </c>
      <c r="Q4" s="1" t="s">
        <v>71</v>
      </c>
    </row>
    <row r="5" spans="1:17" ht="30" customHeight="1" x14ac:dyDescent="0.3">
      <c r="A5" s="18" t="s">
        <v>1194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3">
      <c r="A6" s="2" t="s">
        <v>73</v>
      </c>
      <c r="B6" s="2" t="s">
        <v>1194</v>
      </c>
      <c r="C6" s="2" t="s">
        <v>1195</v>
      </c>
      <c r="D6" s="2" t="s">
        <v>76</v>
      </c>
      <c r="E6" s="2" t="s">
        <v>1196</v>
      </c>
      <c r="F6" s="6" t="s">
        <v>1197</v>
      </c>
      <c r="G6" s="2">
        <v>3</v>
      </c>
      <c r="H6" s="6" t="s">
        <v>1198</v>
      </c>
      <c r="I6" s="6" t="s">
        <v>1199</v>
      </c>
      <c r="J6" s="6" t="s">
        <v>103</v>
      </c>
      <c r="K6" s="6" t="s">
        <v>1200</v>
      </c>
      <c r="L6" s="6" t="s">
        <v>103</v>
      </c>
      <c r="M6" s="6" t="s">
        <v>1201</v>
      </c>
      <c r="N6" s="6" t="s">
        <v>1202</v>
      </c>
      <c r="O6" s="3"/>
      <c r="P6" s="2">
        <v>0</v>
      </c>
      <c r="Q6" s="3" t="str">
        <f t="shared" ref="Q6:Q11" si="0">IF(OR(O6="",P6=0),"",O6+CHOOSE(P6,1,3,7,14,30,90,365))</f>
        <v/>
      </c>
    </row>
    <row r="7" spans="1:17" ht="30" customHeight="1" x14ac:dyDescent="0.3">
      <c r="A7" s="4" t="s">
        <v>73</v>
      </c>
      <c r="B7" s="4" t="s">
        <v>1203</v>
      </c>
      <c r="C7" s="4" t="s">
        <v>1204</v>
      </c>
      <c r="D7" s="4" t="s">
        <v>76</v>
      </c>
      <c r="E7" s="4" t="s">
        <v>1205</v>
      </c>
      <c r="F7" s="7" t="s">
        <v>1206</v>
      </c>
      <c r="G7" s="4">
        <v>4</v>
      </c>
      <c r="H7" s="7" t="s">
        <v>1207</v>
      </c>
      <c r="I7" s="7" t="s">
        <v>1208</v>
      </c>
      <c r="J7" s="7" t="s">
        <v>103</v>
      </c>
      <c r="K7" s="7" t="s">
        <v>1209</v>
      </c>
      <c r="L7" s="7" t="s">
        <v>103</v>
      </c>
      <c r="M7" s="7" t="s">
        <v>1210</v>
      </c>
      <c r="N7" s="7" t="s">
        <v>1211</v>
      </c>
      <c r="O7" s="5"/>
      <c r="P7" s="4">
        <v>0</v>
      </c>
      <c r="Q7" s="5" t="str">
        <f t="shared" si="0"/>
        <v/>
      </c>
    </row>
    <row r="8" spans="1:17" ht="30" customHeight="1" x14ac:dyDescent="0.3">
      <c r="A8" s="2" t="s">
        <v>73</v>
      </c>
      <c r="B8" s="2" t="s">
        <v>1212</v>
      </c>
      <c r="C8" s="2" t="s">
        <v>1213</v>
      </c>
      <c r="D8" s="2" t="s">
        <v>76</v>
      </c>
      <c r="E8" s="2" t="s">
        <v>1194</v>
      </c>
      <c r="F8" s="6" t="s">
        <v>1214</v>
      </c>
      <c r="G8" s="2">
        <v>3</v>
      </c>
      <c r="H8" s="6" t="s">
        <v>1215</v>
      </c>
      <c r="I8" s="6" t="s">
        <v>1216</v>
      </c>
      <c r="J8" s="6" t="s">
        <v>103</v>
      </c>
      <c r="K8" s="6" t="s">
        <v>1217</v>
      </c>
      <c r="L8" s="6" t="s">
        <v>103</v>
      </c>
      <c r="M8" s="6" t="s">
        <v>1218</v>
      </c>
      <c r="N8" s="6" t="s">
        <v>1219</v>
      </c>
      <c r="O8" s="3"/>
      <c r="P8" s="2">
        <v>0</v>
      </c>
      <c r="Q8" s="3" t="str">
        <f t="shared" si="0"/>
        <v/>
      </c>
    </row>
    <row r="9" spans="1:17" ht="30" customHeight="1" x14ac:dyDescent="0.3">
      <c r="A9" s="4" t="s">
        <v>73</v>
      </c>
      <c r="B9" s="4" t="s">
        <v>1220</v>
      </c>
      <c r="C9" s="4" t="s">
        <v>1221</v>
      </c>
      <c r="D9" s="4" t="s">
        <v>76</v>
      </c>
      <c r="E9" s="4" t="s">
        <v>1212</v>
      </c>
      <c r="F9" s="7" t="s">
        <v>1222</v>
      </c>
      <c r="G9" s="4">
        <v>2</v>
      </c>
      <c r="H9" s="7" t="s">
        <v>1223</v>
      </c>
      <c r="I9" s="7" t="s">
        <v>1224</v>
      </c>
      <c r="J9" s="7" t="s">
        <v>103</v>
      </c>
      <c r="K9" s="7" t="s">
        <v>1225</v>
      </c>
      <c r="L9" s="7" t="s">
        <v>103</v>
      </c>
      <c r="M9" s="7" t="s">
        <v>1226</v>
      </c>
      <c r="N9" s="7" t="s">
        <v>1227</v>
      </c>
      <c r="O9" s="5"/>
      <c r="P9" s="4">
        <v>0</v>
      </c>
      <c r="Q9" s="5" t="str">
        <f t="shared" si="0"/>
        <v/>
      </c>
    </row>
    <row r="10" spans="1:17" ht="30" customHeight="1" x14ac:dyDescent="0.3">
      <c r="A10" s="2" t="s">
        <v>73</v>
      </c>
      <c r="B10" s="2" t="s">
        <v>1228</v>
      </c>
      <c r="C10" s="2" t="s">
        <v>1229</v>
      </c>
      <c r="D10" s="2" t="s">
        <v>76</v>
      </c>
      <c r="E10" s="2" t="s">
        <v>1212</v>
      </c>
      <c r="F10" s="6" t="s">
        <v>1230</v>
      </c>
      <c r="G10" s="2">
        <v>4</v>
      </c>
      <c r="H10" s="6" t="s">
        <v>1231</v>
      </c>
      <c r="I10" s="6" t="s">
        <v>1232</v>
      </c>
      <c r="J10" s="6" t="s">
        <v>103</v>
      </c>
      <c r="K10" s="6" t="s">
        <v>1233</v>
      </c>
      <c r="L10" s="6" t="s">
        <v>1234</v>
      </c>
      <c r="M10" s="6" t="s">
        <v>1235</v>
      </c>
      <c r="N10" s="6" t="s">
        <v>1236</v>
      </c>
      <c r="O10" s="3"/>
      <c r="P10" s="2">
        <v>0</v>
      </c>
      <c r="Q10" s="3" t="str">
        <f t="shared" si="0"/>
        <v/>
      </c>
    </row>
    <row r="11" spans="1:17" ht="30" customHeight="1" x14ac:dyDescent="0.3">
      <c r="A11" s="4" t="s">
        <v>73</v>
      </c>
      <c r="B11" s="4" t="s">
        <v>1237</v>
      </c>
      <c r="C11" s="4" t="s">
        <v>1238</v>
      </c>
      <c r="D11" s="4" t="s">
        <v>76</v>
      </c>
      <c r="E11" s="4" t="s">
        <v>1239</v>
      </c>
      <c r="F11" s="7" t="s">
        <v>1240</v>
      </c>
      <c r="G11" s="4">
        <v>3</v>
      </c>
      <c r="H11" s="7" t="s">
        <v>1241</v>
      </c>
      <c r="I11" s="7" t="s">
        <v>1242</v>
      </c>
      <c r="J11" s="7" t="s">
        <v>1243</v>
      </c>
      <c r="K11" s="7" t="s">
        <v>1244</v>
      </c>
      <c r="L11" s="7" t="s">
        <v>1245</v>
      </c>
      <c r="M11" s="7" t="s">
        <v>1246</v>
      </c>
      <c r="N11" s="7" t="s">
        <v>1247</v>
      </c>
      <c r="O11" s="5"/>
      <c r="P11" s="4">
        <v>0</v>
      </c>
      <c r="Q11" s="5" t="str">
        <f t="shared" si="0"/>
        <v/>
      </c>
    </row>
    <row r="12" spans="1:17" ht="30" customHeight="1" x14ac:dyDescent="0.3">
      <c r="A12" s="18" t="s">
        <v>1248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3">
      <c r="A13" s="2" t="s">
        <v>73</v>
      </c>
      <c r="B13" s="2" t="s">
        <v>1249</v>
      </c>
      <c r="C13" s="2" t="s">
        <v>1250</v>
      </c>
      <c r="D13" s="2" t="s">
        <v>76</v>
      </c>
      <c r="E13" s="2" t="s">
        <v>1251</v>
      </c>
      <c r="F13" s="6" t="s">
        <v>1252</v>
      </c>
      <c r="G13" s="2">
        <v>3</v>
      </c>
      <c r="H13" s="6" t="s">
        <v>1253</v>
      </c>
      <c r="I13" s="6" t="s">
        <v>1254</v>
      </c>
      <c r="J13" s="6" t="s">
        <v>103</v>
      </c>
      <c r="K13" s="6" t="s">
        <v>1255</v>
      </c>
      <c r="L13" s="6" t="s">
        <v>103</v>
      </c>
      <c r="M13" s="6" t="s">
        <v>1256</v>
      </c>
      <c r="N13" s="6" t="s">
        <v>1257</v>
      </c>
      <c r="O13" s="3"/>
      <c r="P13" s="2">
        <v>0</v>
      </c>
      <c r="Q13" s="3" t="str">
        <f t="shared" ref="Q13:Q20" si="1">IF(OR(O13="",P13=0),"",O13+CHOOSE(P13,1,3,7,14,30,90,365))</f>
        <v/>
      </c>
    </row>
    <row r="14" spans="1:17" ht="30" customHeight="1" x14ac:dyDescent="0.3">
      <c r="A14" s="4" t="s">
        <v>73</v>
      </c>
      <c r="B14" s="4" t="s">
        <v>1258</v>
      </c>
      <c r="C14" s="4" t="s">
        <v>1259</v>
      </c>
      <c r="D14" s="4" t="s">
        <v>76</v>
      </c>
      <c r="E14" s="4" t="s">
        <v>1249</v>
      </c>
      <c r="F14" s="7" t="s">
        <v>1260</v>
      </c>
      <c r="G14" s="4">
        <v>3</v>
      </c>
      <c r="H14" s="7" t="s">
        <v>1261</v>
      </c>
      <c r="I14" s="7" t="s">
        <v>1262</v>
      </c>
      <c r="J14" s="7" t="s">
        <v>103</v>
      </c>
      <c r="K14" s="7" t="s">
        <v>1263</v>
      </c>
      <c r="L14" s="7" t="s">
        <v>103</v>
      </c>
      <c r="M14" s="7" t="s">
        <v>1264</v>
      </c>
      <c r="N14" s="7" t="s">
        <v>1265</v>
      </c>
      <c r="O14" s="5"/>
      <c r="P14" s="4">
        <v>0</v>
      </c>
      <c r="Q14" s="5" t="str">
        <f t="shared" si="1"/>
        <v/>
      </c>
    </row>
    <row r="15" spans="1:17" ht="30" customHeight="1" x14ac:dyDescent="0.3">
      <c r="A15" s="2" t="s">
        <v>73</v>
      </c>
      <c r="B15" s="2" t="s">
        <v>1266</v>
      </c>
      <c r="C15" s="2" t="s">
        <v>1267</v>
      </c>
      <c r="D15" s="2" t="s">
        <v>76</v>
      </c>
      <c r="E15" s="2" t="s">
        <v>1249</v>
      </c>
      <c r="F15" s="6" t="s">
        <v>1268</v>
      </c>
      <c r="G15" s="2">
        <v>4</v>
      </c>
      <c r="H15" s="6" t="s">
        <v>1269</v>
      </c>
      <c r="I15" s="6" t="s">
        <v>1270</v>
      </c>
      <c r="J15" s="6" t="s">
        <v>103</v>
      </c>
      <c r="K15" s="6" t="s">
        <v>1271</v>
      </c>
      <c r="L15" s="6" t="s">
        <v>103</v>
      </c>
      <c r="M15" s="6" t="s">
        <v>1272</v>
      </c>
      <c r="N15" s="6" t="s">
        <v>1273</v>
      </c>
      <c r="O15" s="3"/>
      <c r="P15" s="2">
        <v>0</v>
      </c>
      <c r="Q15" s="3" t="str">
        <f t="shared" si="1"/>
        <v/>
      </c>
    </row>
    <row r="16" spans="1:17" ht="30" customHeight="1" x14ac:dyDescent="0.3">
      <c r="A16" s="4" t="s">
        <v>73</v>
      </c>
      <c r="B16" s="4" t="s">
        <v>1274</v>
      </c>
      <c r="C16" s="4" t="s">
        <v>1275</v>
      </c>
      <c r="D16" s="4" t="s">
        <v>76</v>
      </c>
      <c r="E16" s="4" t="s">
        <v>1266</v>
      </c>
      <c r="F16" s="7" t="s">
        <v>1276</v>
      </c>
      <c r="G16" s="4">
        <v>2</v>
      </c>
      <c r="H16" s="7" t="s">
        <v>1277</v>
      </c>
      <c r="I16" s="7" t="s">
        <v>1278</v>
      </c>
      <c r="J16" s="7" t="s">
        <v>103</v>
      </c>
      <c r="K16" s="7" t="s">
        <v>103</v>
      </c>
      <c r="L16" s="7" t="s">
        <v>103</v>
      </c>
      <c r="M16" s="7" t="s">
        <v>1279</v>
      </c>
      <c r="N16" s="7" t="s">
        <v>1280</v>
      </c>
      <c r="O16" s="5"/>
      <c r="P16" s="4">
        <v>0</v>
      </c>
      <c r="Q16" s="5" t="str">
        <f t="shared" si="1"/>
        <v/>
      </c>
    </row>
    <row r="17" spans="1:17" ht="30" customHeight="1" x14ac:dyDescent="0.3">
      <c r="A17" s="2" t="s">
        <v>73</v>
      </c>
      <c r="B17" s="2" t="s">
        <v>1281</v>
      </c>
      <c r="C17" s="2" t="s">
        <v>1282</v>
      </c>
      <c r="D17" s="2" t="s">
        <v>76</v>
      </c>
      <c r="E17" s="2" t="s">
        <v>1274</v>
      </c>
      <c r="F17" s="6" t="s">
        <v>1283</v>
      </c>
      <c r="G17" s="2">
        <v>2</v>
      </c>
      <c r="H17" s="6" t="s">
        <v>1284</v>
      </c>
      <c r="I17" s="6" t="s">
        <v>1285</v>
      </c>
      <c r="J17" s="6" t="s">
        <v>1286</v>
      </c>
      <c r="K17" s="6" t="s">
        <v>1287</v>
      </c>
      <c r="L17" s="6" t="s">
        <v>103</v>
      </c>
      <c r="M17" s="6" t="s">
        <v>1288</v>
      </c>
      <c r="N17" s="6" t="s">
        <v>1289</v>
      </c>
      <c r="O17" s="3"/>
      <c r="P17" s="2">
        <v>0</v>
      </c>
      <c r="Q17" s="3" t="str">
        <f t="shared" si="1"/>
        <v/>
      </c>
    </row>
    <row r="18" spans="1:17" ht="30" customHeight="1" x14ac:dyDescent="0.3">
      <c r="A18" s="4" t="s">
        <v>73</v>
      </c>
      <c r="B18" s="4" t="s">
        <v>1290</v>
      </c>
      <c r="C18" s="4" t="s">
        <v>1291</v>
      </c>
      <c r="D18" s="4" t="s">
        <v>76</v>
      </c>
      <c r="E18" s="4" t="s">
        <v>1281</v>
      </c>
      <c r="F18" s="7" t="s">
        <v>1292</v>
      </c>
      <c r="G18" s="4">
        <v>3</v>
      </c>
      <c r="H18" s="7" t="s">
        <v>1293</v>
      </c>
      <c r="I18" s="7" t="s">
        <v>1294</v>
      </c>
      <c r="J18" s="7" t="s">
        <v>103</v>
      </c>
      <c r="K18" s="7" t="s">
        <v>1295</v>
      </c>
      <c r="L18" s="7" t="s">
        <v>103</v>
      </c>
      <c r="M18" s="7" t="s">
        <v>1296</v>
      </c>
      <c r="N18" s="7" t="s">
        <v>1297</v>
      </c>
      <c r="O18" s="5"/>
      <c r="P18" s="4">
        <v>0</v>
      </c>
      <c r="Q18" s="5" t="str">
        <f t="shared" si="1"/>
        <v/>
      </c>
    </row>
    <row r="19" spans="1:17" ht="30" customHeight="1" x14ac:dyDescent="0.3">
      <c r="A19" s="2" t="s">
        <v>73</v>
      </c>
      <c r="B19" s="2" t="s">
        <v>1298</v>
      </c>
      <c r="C19" s="2" t="s">
        <v>1299</v>
      </c>
      <c r="D19" s="2" t="s">
        <v>76</v>
      </c>
      <c r="E19" s="2" t="s">
        <v>1290</v>
      </c>
      <c r="F19" s="6" t="s">
        <v>1300</v>
      </c>
      <c r="G19" s="2">
        <v>2</v>
      </c>
      <c r="H19" s="6" t="s">
        <v>1301</v>
      </c>
      <c r="I19" s="6" t="s">
        <v>1302</v>
      </c>
      <c r="J19" s="6" t="s">
        <v>103</v>
      </c>
      <c r="K19" s="6" t="s">
        <v>1303</v>
      </c>
      <c r="L19" s="6" t="s">
        <v>103</v>
      </c>
      <c r="M19" s="6" t="s">
        <v>1304</v>
      </c>
      <c r="N19" s="6" t="s">
        <v>1305</v>
      </c>
      <c r="O19" s="3"/>
      <c r="P19" s="2">
        <v>0</v>
      </c>
      <c r="Q19" s="3" t="str">
        <f t="shared" si="1"/>
        <v/>
      </c>
    </row>
    <row r="20" spans="1:17" ht="30" customHeight="1" x14ac:dyDescent="0.3">
      <c r="A20" s="4" t="s">
        <v>73</v>
      </c>
      <c r="B20" s="4" t="s">
        <v>1306</v>
      </c>
      <c r="C20" s="4" t="s">
        <v>1307</v>
      </c>
      <c r="D20" s="4" t="s">
        <v>76</v>
      </c>
      <c r="E20" s="4" t="s">
        <v>1249</v>
      </c>
      <c r="F20" s="7" t="s">
        <v>1308</v>
      </c>
      <c r="G20" s="4">
        <v>3</v>
      </c>
      <c r="H20" s="7" t="s">
        <v>1309</v>
      </c>
      <c r="I20" s="7" t="s">
        <v>1310</v>
      </c>
      <c r="J20" s="7" t="s">
        <v>103</v>
      </c>
      <c r="K20" s="7" t="s">
        <v>1311</v>
      </c>
      <c r="L20" s="7" t="s">
        <v>103</v>
      </c>
      <c r="M20" s="7" t="s">
        <v>1312</v>
      </c>
      <c r="N20" s="7" t="s">
        <v>1313</v>
      </c>
      <c r="O20" s="5"/>
      <c r="P20" s="4">
        <v>0</v>
      </c>
      <c r="Q20" s="5" t="str">
        <f t="shared" si="1"/>
        <v/>
      </c>
    </row>
    <row r="21" spans="1:17" ht="30" customHeight="1" x14ac:dyDescent="0.3">
      <c r="A21" s="18" t="s">
        <v>1314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</row>
    <row r="22" spans="1:17" ht="30" customHeight="1" x14ac:dyDescent="0.3">
      <c r="A22" s="2" t="s">
        <v>73</v>
      </c>
      <c r="B22" s="2" t="s">
        <v>272</v>
      </c>
      <c r="C22" s="2" t="s">
        <v>1315</v>
      </c>
      <c r="D22" s="2" t="s">
        <v>76</v>
      </c>
      <c r="E22" s="2" t="s">
        <v>1316</v>
      </c>
      <c r="F22" s="6" t="s">
        <v>1317</v>
      </c>
      <c r="G22" s="2">
        <v>3</v>
      </c>
      <c r="H22" s="6" t="s">
        <v>1318</v>
      </c>
      <c r="I22" s="6" t="s">
        <v>1319</v>
      </c>
      <c r="J22" s="6" t="s">
        <v>103</v>
      </c>
      <c r="K22" s="6" t="s">
        <v>1320</v>
      </c>
      <c r="L22" s="6" t="s">
        <v>103</v>
      </c>
      <c r="M22" s="6" t="s">
        <v>1321</v>
      </c>
      <c r="N22" s="6" t="s">
        <v>1322</v>
      </c>
      <c r="O22" s="3"/>
      <c r="P22" s="2">
        <v>0</v>
      </c>
      <c r="Q22" s="3" t="str">
        <f t="shared" ref="Q22:Q28" si="2">IF(OR(O22="",P22=0),"",O22+CHOOSE(P22,1,3,7,14,30,90,365))</f>
        <v/>
      </c>
    </row>
    <row r="23" spans="1:17" ht="30" customHeight="1" x14ac:dyDescent="0.3">
      <c r="A23" s="4" t="s">
        <v>73</v>
      </c>
      <c r="B23" s="4" t="s">
        <v>1323</v>
      </c>
      <c r="C23" s="4" t="s">
        <v>1324</v>
      </c>
      <c r="D23" s="4" t="s">
        <v>76</v>
      </c>
      <c r="E23" s="4" t="s">
        <v>1325</v>
      </c>
      <c r="F23" s="7" t="s">
        <v>1326</v>
      </c>
      <c r="G23" s="4">
        <v>2</v>
      </c>
      <c r="H23" s="7" t="s">
        <v>1327</v>
      </c>
      <c r="I23" s="7" t="s">
        <v>1328</v>
      </c>
      <c r="J23" s="7" t="s">
        <v>1329</v>
      </c>
      <c r="K23" s="7" t="s">
        <v>1330</v>
      </c>
      <c r="L23" s="7" t="s">
        <v>103</v>
      </c>
      <c r="M23" s="7" t="s">
        <v>1331</v>
      </c>
      <c r="N23" s="7" t="s">
        <v>1332</v>
      </c>
      <c r="O23" s="5"/>
      <c r="P23" s="4">
        <v>0</v>
      </c>
      <c r="Q23" s="5" t="str">
        <f t="shared" si="2"/>
        <v/>
      </c>
    </row>
    <row r="24" spans="1:17" ht="30" customHeight="1" x14ac:dyDescent="0.3">
      <c r="A24" s="2" t="s">
        <v>73</v>
      </c>
      <c r="B24" s="2" t="s">
        <v>1333</v>
      </c>
      <c r="C24" s="2" t="s">
        <v>1334</v>
      </c>
      <c r="D24" s="2" t="s">
        <v>76</v>
      </c>
      <c r="E24" s="2" t="s">
        <v>1323</v>
      </c>
      <c r="F24" s="6" t="s">
        <v>1335</v>
      </c>
      <c r="G24" s="2">
        <v>3</v>
      </c>
      <c r="H24" s="6" t="s">
        <v>1336</v>
      </c>
      <c r="I24" s="6" t="s">
        <v>1337</v>
      </c>
      <c r="J24" s="6" t="s">
        <v>1338</v>
      </c>
      <c r="K24" s="6" t="s">
        <v>1339</v>
      </c>
      <c r="L24" s="6" t="s">
        <v>103</v>
      </c>
      <c r="M24" s="6" t="s">
        <v>1340</v>
      </c>
      <c r="N24" s="6" t="s">
        <v>1341</v>
      </c>
      <c r="O24" s="3"/>
      <c r="P24" s="2">
        <v>0</v>
      </c>
      <c r="Q24" s="3" t="str">
        <f t="shared" si="2"/>
        <v/>
      </c>
    </row>
    <row r="25" spans="1:17" ht="30" customHeight="1" x14ac:dyDescent="0.3">
      <c r="A25" s="4" t="s">
        <v>73</v>
      </c>
      <c r="B25" s="4" t="s">
        <v>1342</v>
      </c>
      <c r="C25" s="4" t="s">
        <v>1343</v>
      </c>
      <c r="D25" s="4" t="s">
        <v>138</v>
      </c>
      <c r="E25" s="4" t="s">
        <v>272</v>
      </c>
      <c r="F25" s="7" t="s">
        <v>1344</v>
      </c>
      <c r="G25" s="4">
        <v>4</v>
      </c>
      <c r="H25" s="7" t="s">
        <v>1345</v>
      </c>
      <c r="I25" s="7" t="s">
        <v>1346</v>
      </c>
      <c r="J25" s="7" t="s">
        <v>103</v>
      </c>
      <c r="K25" s="7" t="s">
        <v>1347</v>
      </c>
      <c r="L25" s="7" t="s">
        <v>103</v>
      </c>
      <c r="M25" s="7" t="s">
        <v>1348</v>
      </c>
      <c r="N25" s="7" t="s">
        <v>1349</v>
      </c>
      <c r="O25" s="5"/>
      <c r="P25" s="4">
        <v>0</v>
      </c>
      <c r="Q25" s="5" t="str">
        <f t="shared" si="2"/>
        <v/>
      </c>
    </row>
    <row r="26" spans="1:17" ht="30" customHeight="1" x14ac:dyDescent="0.3">
      <c r="A26" s="2" t="s">
        <v>73</v>
      </c>
      <c r="B26" s="2" t="s">
        <v>1350</v>
      </c>
      <c r="C26" s="2" t="s">
        <v>1351</v>
      </c>
      <c r="D26" s="2" t="s">
        <v>138</v>
      </c>
      <c r="E26" s="2" t="s">
        <v>1203</v>
      </c>
      <c r="F26" s="6" t="s">
        <v>1352</v>
      </c>
      <c r="G26" s="2">
        <v>4</v>
      </c>
      <c r="H26" s="6" t="s">
        <v>1353</v>
      </c>
      <c r="I26" s="6" t="s">
        <v>1354</v>
      </c>
      <c r="J26" s="6" t="s">
        <v>1355</v>
      </c>
      <c r="K26" s="6" t="s">
        <v>1356</v>
      </c>
      <c r="L26" s="6" t="s">
        <v>1357</v>
      </c>
      <c r="M26" s="6" t="s">
        <v>1358</v>
      </c>
      <c r="N26" s="6" t="s">
        <v>1359</v>
      </c>
      <c r="O26" s="3"/>
      <c r="P26" s="2">
        <v>0</v>
      </c>
      <c r="Q26" s="3" t="str">
        <f t="shared" si="2"/>
        <v/>
      </c>
    </row>
    <row r="27" spans="1:17" ht="30" customHeight="1" x14ac:dyDescent="0.3">
      <c r="A27" s="4" t="s">
        <v>73</v>
      </c>
      <c r="B27" s="4" t="s">
        <v>1360</v>
      </c>
      <c r="C27" s="4" t="s">
        <v>1361</v>
      </c>
      <c r="D27" s="4" t="s">
        <v>76</v>
      </c>
      <c r="E27" s="4" t="s">
        <v>1203</v>
      </c>
      <c r="F27" s="7" t="s">
        <v>1362</v>
      </c>
      <c r="G27" s="4">
        <v>2</v>
      </c>
      <c r="H27" s="7" t="s">
        <v>1363</v>
      </c>
      <c r="I27" s="7" t="s">
        <v>1364</v>
      </c>
      <c r="J27" s="7" t="s">
        <v>1365</v>
      </c>
      <c r="K27" s="7" t="s">
        <v>1366</v>
      </c>
      <c r="L27" s="7" t="s">
        <v>103</v>
      </c>
      <c r="M27" s="7" t="s">
        <v>1367</v>
      </c>
      <c r="N27" s="7" t="s">
        <v>1368</v>
      </c>
      <c r="O27" s="5"/>
      <c r="P27" s="4">
        <v>0</v>
      </c>
      <c r="Q27" s="5" t="str">
        <f t="shared" si="2"/>
        <v/>
      </c>
    </row>
    <row r="28" spans="1:17" ht="30" customHeight="1" x14ac:dyDescent="0.3">
      <c r="A28" s="2" t="s">
        <v>73</v>
      </c>
      <c r="B28" s="2" t="s">
        <v>1369</v>
      </c>
      <c r="C28" s="2" t="s">
        <v>1370</v>
      </c>
      <c r="D28" s="2" t="s">
        <v>138</v>
      </c>
      <c r="E28" s="2" t="s">
        <v>1371</v>
      </c>
      <c r="F28" s="6" t="s">
        <v>1372</v>
      </c>
      <c r="G28" s="2">
        <v>3</v>
      </c>
      <c r="H28" s="6" t="s">
        <v>1373</v>
      </c>
      <c r="I28" s="6" t="s">
        <v>1374</v>
      </c>
      <c r="J28" s="6" t="s">
        <v>103</v>
      </c>
      <c r="K28" s="6" t="s">
        <v>1375</v>
      </c>
      <c r="L28" s="6" t="s">
        <v>103</v>
      </c>
      <c r="M28" s="6" t="s">
        <v>1376</v>
      </c>
      <c r="N28" s="6" t="s">
        <v>1377</v>
      </c>
      <c r="O28" s="3"/>
      <c r="P28" s="2">
        <v>0</v>
      </c>
      <c r="Q28" s="3" t="str">
        <f t="shared" si="2"/>
        <v/>
      </c>
    </row>
  </sheetData>
  <autoFilter ref="A4:Q4" xr:uid="{00000000-0009-0000-0000-000009000000}"/>
  <mergeCells count="6">
    <mergeCell ref="A21:Q21"/>
    <mergeCell ref="A1:Q1"/>
    <mergeCell ref="A2:Q2"/>
    <mergeCell ref="A3:P3"/>
    <mergeCell ref="A5:Q5"/>
    <mergeCell ref="A12:Q12"/>
  </mergeCells>
  <conditionalFormatting sqref="A6:A11">
    <cfRule type="expression" dxfId="293" priority="3">
      <formula>$A6="Completed"</formula>
    </cfRule>
    <cfRule type="expression" dxfId="292" priority="4">
      <formula>$A6="In Progress"</formula>
    </cfRule>
    <cfRule type="expression" dxfId="291" priority="5">
      <formula>$A6="Not Started"</formula>
    </cfRule>
    <cfRule type="expression" dxfId="290" priority="6">
      <formula>$A6="Research"</formula>
    </cfRule>
    <cfRule type="expression" dxfId="289" priority="7">
      <formula>$A6="Project"</formula>
    </cfRule>
    <cfRule type="expression" dxfId="288" priority="8">
      <formula>$A6="Optional"</formula>
    </cfRule>
  </conditionalFormatting>
  <conditionalFormatting sqref="A13:A20">
    <cfRule type="expression" dxfId="287" priority="11">
      <formula>$A13="Completed"</formula>
    </cfRule>
    <cfRule type="expression" dxfId="286" priority="12">
      <formula>$A13="In Progress"</formula>
    </cfRule>
    <cfRule type="expression" dxfId="285" priority="13">
      <formula>$A13="Not Started"</formula>
    </cfRule>
    <cfRule type="expression" dxfId="284" priority="14">
      <formula>$A13="Research"</formula>
    </cfRule>
    <cfRule type="expression" dxfId="283" priority="15">
      <formula>$A13="Project"</formula>
    </cfRule>
    <cfRule type="expression" dxfId="282" priority="16">
      <formula>$A13="Optional"</formula>
    </cfRule>
  </conditionalFormatting>
  <conditionalFormatting sqref="A22:A28">
    <cfRule type="expression" dxfId="281" priority="19">
      <formula>$A22="Completed"</formula>
    </cfRule>
    <cfRule type="expression" dxfId="280" priority="20">
      <formula>$A22="In Progress"</formula>
    </cfRule>
    <cfRule type="expression" dxfId="279" priority="21">
      <formula>$A22="Not Started"</formula>
    </cfRule>
    <cfRule type="expression" dxfId="278" priority="22">
      <formula>$A22="Research"</formula>
    </cfRule>
    <cfRule type="expression" dxfId="277" priority="23">
      <formula>$A22="Project"</formula>
    </cfRule>
    <cfRule type="expression" dxfId="276" priority="24">
      <formula>$A22="Optional"</formula>
    </cfRule>
  </conditionalFormatting>
  <conditionalFormatting sqref="Q3">
    <cfRule type="dataBar" priority="2">
      <dataBar>
        <cfvo type="num" val="0"/>
        <cfvo type="num" val="100"/>
        <color rgb="FF8FC1E9"/>
      </dataBar>
      <extLst>
        <ext xmlns:x14="http://schemas.microsoft.com/office/spreadsheetml/2009/9/main" uri="{B025F937-C7B1-47D3-B67F-A62EFF666E3E}">
          <x14:id>{99EA5CEA-F9A1-4A9C-BEAD-D053A017E46E}</x14:id>
        </ext>
      </extLst>
    </cfRule>
  </conditionalFormatting>
  <conditionalFormatting sqref="Q6:Q11">
    <cfRule type="expression" dxfId="275" priority="9">
      <formula>AND($Q6&lt;&gt;"",$Q6&lt;TODAY())</formula>
    </cfRule>
    <cfRule type="expression" dxfId="274" priority="10">
      <formula>AND($Q6&lt;&gt;"",$Q6&gt;=TODAY(),$Q6&lt;=TODAY()+3)</formula>
    </cfRule>
  </conditionalFormatting>
  <conditionalFormatting sqref="Q13:Q20">
    <cfRule type="expression" dxfId="273" priority="17">
      <formula>AND($Q13&lt;&gt;"",$Q13&lt;TODAY())</formula>
    </cfRule>
    <cfRule type="expression" dxfId="272" priority="18">
      <formula>AND($Q13&lt;&gt;"",$Q13&gt;=TODAY(),$Q13&lt;=TODAY()+3)</formula>
    </cfRule>
  </conditionalFormatting>
  <conditionalFormatting sqref="Q22:Q28">
    <cfRule type="expression" dxfId="271" priority="25">
      <formula>AND($Q22&lt;&gt;"",$Q22&lt;TODAY())</formula>
    </cfRule>
    <cfRule type="expression" dxfId="270" priority="26">
      <formula>AND($Q22&lt;&gt;"",$Q22&gt;=TODAY(),$Q22&lt;=TODAY()+3)</formula>
    </cfRule>
  </conditionalFormatting>
  <dataValidations count="3">
    <dataValidation type="list" allowBlank="1" sqref="P6:P11 P13:P20 P22:P28" xr:uid="{00000000-0002-0000-0900-000000000000}">
      <formula1>"0,1,2,3,4,5,6,7"</formula1>
      <formula2>0</formula2>
    </dataValidation>
    <dataValidation type="list" allowBlank="1" sqref="A6:A11 A22:A28 A13:A20" xr:uid="{00000000-0002-0000-0900-000001000000}">
      <formula1>"Completed,In Progress,Not Started,Research,Project,Optional"</formula1>
      <formula2>0</formula2>
    </dataValidation>
    <dataValidation type="list" allowBlank="1" sqref="D6:D11 D22:D28 D13:D20" xr:uid="{00000000-0002-0000-0900-000002000000}">
      <formula1>"Intermediate,Advanced,Expert,Research-Level"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EA5CEA-F9A1-4A9C-BEAD-D053A017E46E}">
            <x14:dataBar axisPosition="none">
              <x14:cfvo type="num">
                <xm:f>0</xm:f>
              </x14:cfvo>
              <x14:cfvo type="num">
                <xm:f>100</xm:f>
              </x14:cfvo>
              <x14:negativeFillColor rgb="FF8FC1E9"/>
            </x14:dataBar>
          </x14:cfRule>
          <xm:sqref>Q3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23"/>
  <sheetViews>
    <sheetView showGridLines="0" zoomScaleNormal="100" workbookViewId="0">
      <pane ySplit="4" topLeftCell="A5" activePane="bottomLeft" state="frozen"/>
      <selection pane="bottomLeft" sqref="A1:Q1"/>
    </sheetView>
  </sheetViews>
  <sheetFormatPr defaultColWidth="8.6640625" defaultRowHeight="14.4" x14ac:dyDescent="0.3"/>
  <cols>
    <col min="1" max="1" width="12" customWidth="1"/>
    <col min="2" max="2" width="22" customWidth="1"/>
    <col min="3" max="3" width="30" customWidth="1"/>
    <col min="4" max="4" width="12" customWidth="1"/>
    <col min="5" max="5" width="22" customWidth="1"/>
    <col min="6" max="6" width="34" customWidth="1"/>
    <col min="7" max="7" width="9" customWidth="1"/>
    <col min="8" max="8" width="26" customWidth="1"/>
    <col min="9" max="9" width="30" customWidth="1"/>
    <col min="10" max="10" width="24" customWidth="1"/>
    <col min="11" max="12" width="30" customWidth="1"/>
    <col min="13" max="13" width="40" customWidth="1"/>
    <col min="14" max="14" width="30" customWidth="1"/>
    <col min="15" max="15" width="13" customWidth="1"/>
    <col min="16" max="16" width="11" customWidth="1"/>
    <col min="17" max="17" width="13" customWidth="1"/>
  </cols>
  <sheetData>
    <row r="1" spans="1:17" ht="33.75" customHeight="1" x14ac:dyDescent="0.3">
      <c r="A1" s="19" t="s">
        <v>50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ht="15" customHeight="1" x14ac:dyDescent="0.3">
      <c r="A2" s="20" t="s">
        <v>1378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ht="19.5" customHeight="1" x14ac:dyDescent="0.3">
      <c r="A3" s="21" t="s">
        <v>1379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12">
        <f>ROUND(COUNTIF(A5:A23,"Completed")/SUMPRODUCT(COUNTIF(A5:A23,{"Completed","In Progress","Not Started","Research","Project","Optional"}))*100,0)</f>
        <v>0</v>
      </c>
    </row>
    <row r="4" spans="1:17" ht="31.5" customHeight="1" x14ac:dyDescent="0.3">
      <c r="A4" s="1" t="s">
        <v>58</v>
      </c>
      <c r="B4" s="1" t="s">
        <v>6</v>
      </c>
      <c r="C4" s="1" t="s">
        <v>7</v>
      </c>
      <c r="D4" s="1" t="s">
        <v>59</v>
      </c>
      <c r="E4" s="1" t="s">
        <v>60</v>
      </c>
      <c r="F4" s="1" t="s">
        <v>61</v>
      </c>
      <c r="G4" s="1" t="s">
        <v>62</v>
      </c>
      <c r="H4" s="1" t="s">
        <v>63</v>
      </c>
      <c r="I4" s="1" t="s">
        <v>64</v>
      </c>
      <c r="J4" s="1" t="s">
        <v>65</v>
      </c>
      <c r="K4" s="1" t="s">
        <v>66</v>
      </c>
      <c r="L4" s="1" t="s">
        <v>67</v>
      </c>
      <c r="M4" s="1" t="s">
        <v>68</v>
      </c>
      <c r="N4" s="1" t="s">
        <v>11</v>
      </c>
      <c r="O4" s="1" t="s">
        <v>69</v>
      </c>
      <c r="P4" s="1" t="s">
        <v>70</v>
      </c>
      <c r="Q4" s="1" t="s">
        <v>71</v>
      </c>
    </row>
    <row r="5" spans="1:17" ht="30" customHeight="1" x14ac:dyDescent="0.3">
      <c r="A5" s="18" t="s">
        <v>1380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3">
      <c r="A6" s="2" t="s">
        <v>73</v>
      </c>
      <c r="B6" s="2" t="s">
        <v>1381</v>
      </c>
      <c r="C6" s="2" t="s">
        <v>1382</v>
      </c>
      <c r="D6" s="2" t="s">
        <v>76</v>
      </c>
      <c r="E6" s="2" t="s">
        <v>1306</v>
      </c>
      <c r="F6" s="6" t="s">
        <v>1383</v>
      </c>
      <c r="G6" s="2">
        <v>3</v>
      </c>
      <c r="H6" s="6" t="s">
        <v>1384</v>
      </c>
      <c r="I6" s="6" t="s">
        <v>1385</v>
      </c>
      <c r="J6" s="6" t="s">
        <v>1386</v>
      </c>
      <c r="K6" s="6" t="s">
        <v>1387</v>
      </c>
      <c r="L6" s="6" t="s">
        <v>103</v>
      </c>
      <c r="M6" s="6" t="s">
        <v>1388</v>
      </c>
      <c r="N6" s="6" t="s">
        <v>1389</v>
      </c>
      <c r="O6" s="3"/>
      <c r="P6" s="2">
        <v>0</v>
      </c>
      <c r="Q6" s="3" t="str">
        <f>IF(OR(O6="",P6=0),"",O6+CHOOSE(P6,1,3,7,14,30,90,365))</f>
        <v/>
      </c>
    </row>
    <row r="7" spans="1:17" ht="30" customHeight="1" x14ac:dyDescent="0.3">
      <c r="A7" s="4" t="s">
        <v>73</v>
      </c>
      <c r="B7" s="4" t="s">
        <v>1390</v>
      </c>
      <c r="C7" s="4" t="s">
        <v>1391</v>
      </c>
      <c r="D7" s="4" t="s">
        <v>138</v>
      </c>
      <c r="E7" s="4" t="s">
        <v>1249</v>
      </c>
      <c r="F7" s="7" t="s">
        <v>1392</v>
      </c>
      <c r="G7" s="4">
        <v>4</v>
      </c>
      <c r="H7" s="7" t="s">
        <v>1393</v>
      </c>
      <c r="I7" s="7" t="s">
        <v>1394</v>
      </c>
      <c r="J7" s="7" t="s">
        <v>103</v>
      </c>
      <c r="K7" s="7" t="s">
        <v>103</v>
      </c>
      <c r="L7" s="7" t="s">
        <v>103</v>
      </c>
      <c r="M7" s="7" t="s">
        <v>1395</v>
      </c>
      <c r="N7" s="7" t="s">
        <v>1396</v>
      </c>
      <c r="O7" s="5"/>
      <c r="P7" s="4">
        <v>0</v>
      </c>
      <c r="Q7" s="5" t="str">
        <f>IF(OR(O7="",P7=0),"",O7+CHOOSE(P7,1,3,7,14,30,90,365))</f>
        <v/>
      </c>
    </row>
    <row r="8" spans="1:17" ht="30" customHeight="1" x14ac:dyDescent="0.3">
      <c r="A8" s="2" t="s">
        <v>73</v>
      </c>
      <c r="B8" s="2" t="s">
        <v>1397</v>
      </c>
      <c r="C8" s="2" t="s">
        <v>1398</v>
      </c>
      <c r="D8" s="2" t="s">
        <v>138</v>
      </c>
      <c r="E8" s="2" t="s">
        <v>1390</v>
      </c>
      <c r="F8" s="6" t="s">
        <v>1399</v>
      </c>
      <c r="G8" s="2">
        <v>3</v>
      </c>
      <c r="H8" s="6" t="s">
        <v>1400</v>
      </c>
      <c r="I8" s="6" t="s">
        <v>1401</v>
      </c>
      <c r="J8" s="6" t="s">
        <v>103</v>
      </c>
      <c r="K8" s="6" t="s">
        <v>1402</v>
      </c>
      <c r="L8" s="6" t="s">
        <v>103</v>
      </c>
      <c r="M8" s="6" t="s">
        <v>1403</v>
      </c>
      <c r="N8" s="6" t="s">
        <v>1404</v>
      </c>
      <c r="O8" s="3"/>
      <c r="P8" s="2">
        <v>0</v>
      </c>
      <c r="Q8" s="3" t="str">
        <f>IF(OR(O8="",P8=0),"",O8+CHOOSE(P8,1,3,7,14,30,90,365))</f>
        <v/>
      </c>
    </row>
    <row r="9" spans="1:17" ht="30" customHeight="1" x14ac:dyDescent="0.3">
      <c r="A9" s="4" t="s">
        <v>73</v>
      </c>
      <c r="B9" s="4" t="s">
        <v>1405</v>
      </c>
      <c r="C9" s="4" t="s">
        <v>1406</v>
      </c>
      <c r="D9" s="4" t="s">
        <v>76</v>
      </c>
      <c r="E9" s="4" t="s">
        <v>1407</v>
      </c>
      <c r="F9" s="7" t="s">
        <v>1408</v>
      </c>
      <c r="G9" s="4">
        <v>2</v>
      </c>
      <c r="H9" s="7" t="s">
        <v>1409</v>
      </c>
      <c r="I9" s="7" t="s">
        <v>1410</v>
      </c>
      <c r="J9" s="7" t="s">
        <v>103</v>
      </c>
      <c r="K9" s="7" t="s">
        <v>1411</v>
      </c>
      <c r="L9" s="7" t="s">
        <v>103</v>
      </c>
      <c r="M9" s="7" t="s">
        <v>1412</v>
      </c>
      <c r="N9" s="7" t="s">
        <v>1413</v>
      </c>
      <c r="O9" s="5"/>
      <c r="P9" s="4">
        <v>0</v>
      </c>
      <c r="Q9" s="5" t="str">
        <f>IF(OR(O9="",P9=0),"",O9+CHOOSE(P9,1,3,7,14,30,90,365))</f>
        <v/>
      </c>
    </row>
    <row r="10" spans="1:17" ht="30" customHeight="1" x14ac:dyDescent="0.3">
      <c r="A10" s="2" t="s">
        <v>73</v>
      </c>
      <c r="B10" s="2" t="s">
        <v>1414</v>
      </c>
      <c r="C10" s="2" t="s">
        <v>1415</v>
      </c>
      <c r="D10" s="2" t="s">
        <v>138</v>
      </c>
      <c r="E10" s="2" t="s">
        <v>1416</v>
      </c>
      <c r="F10" s="6" t="s">
        <v>1417</v>
      </c>
      <c r="G10" s="2">
        <v>4</v>
      </c>
      <c r="H10" s="6" t="s">
        <v>1418</v>
      </c>
      <c r="I10" s="6" t="s">
        <v>1419</v>
      </c>
      <c r="J10" s="6" t="s">
        <v>103</v>
      </c>
      <c r="K10" s="6" t="s">
        <v>1420</v>
      </c>
      <c r="L10" s="6" t="s">
        <v>1421</v>
      </c>
      <c r="M10" s="6" t="s">
        <v>1422</v>
      </c>
      <c r="N10" s="6" t="s">
        <v>1423</v>
      </c>
      <c r="O10" s="3"/>
      <c r="P10" s="2">
        <v>0</v>
      </c>
      <c r="Q10" s="3" t="str">
        <f>IF(OR(O10="",P10=0),"",O10+CHOOSE(P10,1,3,7,14,30,90,365))</f>
        <v/>
      </c>
    </row>
    <row r="11" spans="1:17" ht="30" customHeight="1" x14ac:dyDescent="0.3">
      <c r="A11" s="18" t="s">
        <v>1424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3">
      <c r="A12" s="4" t="s">
        <v>73</v>
      </c>
      <c r="B12" s="4" t="s">
        <v>1425</v>
      </c>
      <c r="C12" s="4" t="s">
        <v>1426</v>
      </c>
      <c r="D12" s="4" t="s">
        <v>76</v>
      </c>
      <c r="E12" s="4" t="s">
        <v>1266</v>
      </c>
      <c r="F12" s="7" t="s">
        <v>1427</v>
      </c>
      <c r="G12" s="4">
        <v>2</v>
      </c>
      <c r="H12" s="7" t="s">
        <v>1428</v>
      </c>
      <c r="I12" s="7" t="s">
        <v>1429</v>
      </c>
      <c r="J12" s="7" t="s">
        <v>1430</v>
      </c>
      <c r="K12" s="7" t="s">
        <v>1431</v>
      </c>
      <c r="L12" s="7" t="s">
        <v>103</v>
      </c>
      <c r="M12" s="7" t="s">
        <v>1432</v>
      </c>
      <c r="N12" s="7" t="s">
        <v>1433</v>
      </c>
      <c r="O12" s="5"/>
      <c r="P12" s="4">
        <v>0</v>
      </c>
      <c r="Q12" s="5" t="str">
        <f>IF(OR(O12="",P12=0),"",O12+CHOOSE(P12,1,3,7,14,30,90,365))</f>
        <v/>
      </c>
    </row>
    <row r="13" spans="1:17" ht="30" customHeight="1" x14ac:dyDescent="0.3">
      <c r="A13" s="2" t="s">
        <v>73</v>
      </c>
      <c r="B13" s="2" t="s">
        <v>1434</v>
      </c>
      <c r="C13" s="2" t="s">
        <v>1435</v>
      </c>
      <c r="D13" s="2" t="s">
        <v>76</v>
      </c>
      <c r="E13" s="2" t="s">
        <v>1425</v>
      </c>
      <c r="F13" s="6" t="s">
        <v>1436</v>
      </c>
      <c r="G13" s="2">
        <v>2</v>
      </c>
      <c r="H13" s="6" t="s">
        <v>1437</v>
      </c>
      <c r="I13" s="6" t="s">
        <v>1438</v>
      </c>
      <c r="J13" s="6" t="s">
        <v>1439</v>
      </c>
      <c r="K13" s="6" t="s">
        <v>1440</v>
      </c>
      <c r="L13" s="6" t="s">
        <v>103</v>
      </c>
      <c r="M13" s="6" t="s">
        <v>1441</v>
      </c>
      <c r="N13" s="6" t="s">
        <v>1442</v>
      </c>
      <c r="O13" s="3"/>
      <c r="P13" s="2">
        <v>0</v>
      </c>
      <c r="Q13" s="3" t="str">
        <f>IF(OR(O13="",P13=0),"",O13+CHOOSE(P13,1,3,7,14,30,90,365))</f>
        <v/>
      </c>
    </row>
    <row r="14" spans="1:17" ht="30" customHeight="1" x14ac:dyDescent="0.3">
      <c r="A14" s="4" t="s">
        <v>73</v>
      </c>
      <c r="B14" s="4" t="s">
        <v>1443</v>
      </c>
      <c r="C14" s="4" t="s">
        <v>1444</v>
      </c>
      <c r="D14" s="4" t="s">
        <v>138</v>
      </c>
      <c r="E14" s="4" t="s">
        <v>1445</v>
      </c>
      <c r="F14" s="7" t="s">
        <v>1446</v>
      </c>
      <c r="G14" s="4">
        <v>4</v>
      </c>
      <c r="H14" s="7" t="s">
        <v>1447</v>
      </c>
      <c r="I14" s="7" t="s">
        <v>1448</v>
      </c>
      <c r="J14" s="7" t="s">
        <v>1449</v>
      </c>
      <c r="K14" s="7" t="s">
        <v>1450</v>
      </c>
      <c r="L14" s="7" t="s">
        <v>1451</v>
      </c>
      <c r="M14" s="7" t="s">
        <v>1452</v>
      </c>
      <c r="N14" s="7" t="s">
        <v>1453</v>
      </c>
      <c r="O14" s="5"/>
      <c r="P14" s="4">
        <v>0</v>
      </c>
      <c r="Q14" s="5" t="str">
        <f>IF(OR(O14="",P14=0),"",O14+CHOOSE(P14,1,3,7,14,30,90,365))</f>
        <v/>
      </c>
    </row>
    <row r="15" spans="1:17" ht="30" customHeight="1" x14ac:dyDescent="0.3">
      <c r="A15" s="2" t="s">
        <v>73</v>
      </c>
      <c r="B15" s="2" t="s">
        <v>1454</v>
      </c>
      <c r="C15" s="2" t="s">
        <v>1455</v>
      </c>
      <c r="D15" s="2" t="s">
        <v>76</v>
      </c>
      <c r="E15" s="2" t="s">
        <v>1443</v>
      </c>
      <c r="F15" s="6" t="s">
        <v>1456</v>
      </c>
      <c r="G15" s="2">
        <v>2</v>
      </c>
      <c r="H15" s="6" t="s">
        <v>1457</v>
      </c>
      <c r="I15" s="6" t="s">
        <v>1458</v>
      </c>
      <c r="J15" s="6" t="s">
        <v>1459</v>
      </c>
      <c r="K15" s="6" t="s">
        <v>1460</v>
      </c>
      <c r="L15" s="6" t="s">
        <v>103</v>
      </c>
      <c r="M15" s="6" t="s">
        <v>1461</v>
      </c>
      <c r="N15" s="6" t="s">
        <v>1462</v>
      </c>
      <c r="O15" s="3"/>
      <c r="P15" s="2">
        <v>0</v>
      </c>
      <c r="Q15" s="3" t="str">
        <f>IF(OR(O15="",P15=0),"",O15+CHOOSE(P15,1,3,7,14,30,90,365))</f>
        <v/>
      </c>
    </row>
    <row r="16" spans="1:17" ht="30" customHeight="1" x14ac:dyDescent="0.3">
      <c r="A16" s="4" t="s">
        <v>73</v>
      </c>
      <c r="B16" s="4" t="s">
        <v>1463</v>
      </c>
      <c r="C16" s="4" t="s">
        <v>1464</v>
      </c>
      <c r="D16" s="4" t="s">
        <v>76</v>
      </c>
      <c r="E16" s="4" t="s">
        <v>1443</v>
      </c>
      <c r="F16" s="7" t="s">
        <v>1465</v>
      </c>
      <c r="G16" s="4">
        <v>2</v>
      </c>
      <c r="H16" s="7" t="s">
        <v>1466</v>
      </c>
      <c r="I16" s="7" t="s">
        <v>1467</v>
      </c>
      <c r="J16" s="7" t="s">
        <v>1468</v>
      </c>
      <c r="K16" s="7" t="s">
        <v>1469</v>
      </c>
      <c r="L16" s="7" t="s">
        <v>103</v>
      </c>
      <c r="M16" s="7" t="s">
        <v>1470</v>
      </c>
      <c r="N16" s="7" t="s">
        <v>1471</v>
      </c>
      <c r="O16" s="5"/>
      <c r="P16" s="4">
        <v>0</v>
      </c>
      <c r="Q16" s="5" t="str">
        <f>IF(OR(O16="",P16=0),"",O16+CHOOSE(P16,1,3,7,14,30,90,365))</f>
        <v/>
      </c>
    </row>
    <row r="17" spans="1:17" ht="30" customHeight="1" x14ac:dyDescent="0.3">
      <c r="A17" s="18" t="s">
        <v>1472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</row>
    <row r="18" spans="1:17" ht="30" customHeight="1" x14ac:dyDescent="0.3">
      <c r="A18" s="2" t="s">
        <v>73</v>
      </c>
      <c r="B18" s="2" t="s">
        <v>1473</v>
      </c>
      <c r="C18" s="2" t="s">
        <v>1474</v>
      </c>
      <c r="D18" s="2" t="s">
        <v>76</v>
      </c>
      <c r="E18" s="2" t="s">
        <v>1475</v>
      </c>
      <c r="F18" s="6" t="s">
        <v>1476</v>
      </c>
      <c r="G18" s="2">
        <v>3</v>
      </c>
      <c r="H18" s="6" t="s">
        <v>1477</v>
      </c>
      <c r="I18" s="6" t="s">
        <v>1478</v>
      </c>
      <c r="J18" s="6" t="s">
        <v>1479</v>
      </c>
      <c r="K18" s="6" t="s">
        <v>1480</v>
      </c>
      <c r="L18" s="6" t="s">
        <v>103</v>
      </c>
      <c r="M18" s="6" t="s">
        <v>1481</v>
      </c>
      <c r="N18" s="6" t="s">
        <v>1482</v>
      </c>
      <c r="O18" s="3"/>
      <c r="P18" s="2">
        <v>0</v>
      </c>
      <c r="Q18" s="3" t="str">
        <f t="shared" ref="Q18:Q23" si="0">IF(OR(O18="",P18=0),"",O18+CHOOSE(P18,1,3,7,14,30,90,365))</f>
        <v/>
      </c>
    </row>
    <row r="19" spans="1:17" ht="30" customHeight="1" x14ac:dyDescent="0.3">
      <c r="A19" s="4" t="s">
        <v>73</v>
      </c>
      <c r="B19" s="4" t="s">
        <v>1483</v>
      </c>
      <c r="C19" s="4" t="s">
        <v>1484</v>
      </c>
      <c r="D19" s="4" t="s">
        <v>76</v>
      </c>
      <c r="E19" s="4" t="s">
        <v>1306</v>
      </c>
      <c r="F19" s="7" t="s">
        <v>1485</v>
      </c>
      <c r="G19" s="4">
        <v>2</v>
      </c>
      <c r="H19" s="7" t="s">
        <v>1486</v>
      </c>
      <c r="I19" s="7" t="s">
        <v>1487</v>
      </c>
      <c r="J19" s="7" t="s">
        <v>1488</v>
      </c>
      <c r="K19" s="7" t="s">
        <v>1489</v>
      </c>
      <c r="L19" s="7" t="s">
        <v>103</v>
      </c>
      <c r="M19" s="7" t="s">
        <v>1490</v>
      </c>
      <c r="N19" s="7" t="s">
        <v>1491</v>
      </c>
      <c r="O19" s="5"/>
      <c r="P19" s="4">
        <v>0</v>
      </c>
      <c r="Q19" s="5" t="str">
        <f t="shared" si="0"/>
        <v/>
      </c>
    </row>
    <row r="20" spans="1:17" ht="30" customHeight="1" x14ac:dyDescent="0.3">
      <c r="A20" s="2" t="s">
        <v>73</v>
      </c>
      <c r="B20" s="2" t="s">
        <v>1492</v>
      </c>
      <c r="C20" s="2" t="s">
        <v>1493</v>
      </c>
      <c r="D20" s="2" t="s">
        <v>76</v>
      </c>
      <c r="E20" s="2" t="s">
        <v>1306</v>
      </c>
      <c r="F20" s="6" t="s">
        <v>1494</v>
      </c>
      <c r="G20" s="2">
        <v>2</v>
      </c>
      <c r="H20" s="6" t="s">
        <v>1495</v>
      </c>
      <c r="I20" s="6" t="s">
        <v>1496</v>
      </c>
      <c r="J20" s="6" t="s">
        <v>1497</v>
      </c>
      <c r="K20" s="6" t="s">
        <v>1498</v>
      </c>
      <c r="L20" s="6" t="s">
        <v>103</v>
      </c>
      <c r="M20" s="6" t="s">
        <v>1499</v>
      </c>
      <c r="N20" s="6" t="s">
        <v>1500</v>
      </c>
      <c r="O20" s="3"/>
      <c r="P20" s="2">
        <v>0</v>
      </c>
      <c r="Q20" s="3" t="str">
        <f t="shared" si="0"/>
        <v/>
      </c>
    </row>
    <row r="21" spans="1:17" ht="30" customHeight="1" x14ac:dyDescent="0.3">
      <c r="A21" s="4" t="s">
        <v>73</v>
      </c>
      <c r="B21" s="4" t="s">
        <v>1501</v>
      </c>
      <c r="C21" s="4" t="s">
        <v>1502</v>
      </c>
      <c r="D21" s="4" t="s">
        <v>76</v>
      </c>
      <c r="E21" s="4" t="s">
        <v>1306</v>
      </c>
      <c r="F21" s="7" t="s">
        <v>1503</v>
      </c>
      <c r="G21" s="4">
        <v>2</v>
      </c>
      <c r="H21" s="7" t="s">
        <v>1504</v>
      </c>
      <c r="I21" s="7" t="s">
        <v>1505</v>
      </c>
      <c r="J21" s="7" t="s">
        <v>1506</v>
      </c>
      <c r="K21" s="7" t="s">
        <v>1507</v>
      </c>
      <c r="L21" s="7" t="s">
        <v>103</v>
      </c>
      <c r="M21" s="7" t="s">
        <v>1508</v>
      </c>
      <c r="N21" s="7" t="s">
        <v>1509</v>
      </c>
      <c r="O21" s="5"/>
      <c r="P21" s="4">
        <v>0</v>
      </c>
      <c r="Q21" s="5" t="str">
        <f t="shared" si="0"/>
        <v/>
      </c>
    </row>
    <row r="22" spans="1:17" ht="30" customHeight="1" x14ac:dyDescent="0.3">
      <c r="A22" s="2" t="s">
        <v>73</v>
      </c>
      <c r="B22" s="2" t="s">
        <v>1510</v>
      </c>
      <c r="C22" s="2" t="s">
        <v>1511</v>
      </c>
      <c r="D22" s="2" t="s">
        <v>76</v>
      </c>
      <c r="E22" s="2" t="s">
        <v>1512</v>
      </c>
      <c r="F22" s="6" t="s">
        <v>1513</v>
      </c>
      <c r="G22" s="2">
        <v>3</v>
      </c>
      <c r="H22" s="6" t="s">
        <v>1514</v>
      </c>
      <c r="I22" s="6" t="s">
        <v>1515</v>
      </c>
      <c r="J22" s="6" t="s">
        <v>1516</v>
      </c>
      <c r="K22" s="6" t="s">
        <v>1517</v>
      </c>
      <c r="L22" s="6" t="s">
        <v>103</v>
      </c>
      <c r="M22" s="6" t="s">
        <v>1518</v>
      </c>
      <c r="N22" s="6" t="s">
        <v>1519</v>
      </c>
      <c r="O22" s="3"/>
      <c r="P22" s="2">
        <v>0</v>
      </c>
      <c r="Q22" s="3" t="str">
        <f t="shared" si="0"/>
        <v/>
      </c>
    </row>
    <row r="23" spans="1:17" ht="30" customHeight="1" x14ac:dyDescent="0.3">
      <c r="A23" s="4" t="s">
        <v>73</v>
      </c>
      <c r="B23" s="4" t="s">
        <v>1520</v>
      </c>
      <c r="C23" s="4" t="s">
        <v>1521</v>
      </c>
      <c r="D23" s="4" t="s">
        <v>76</v>
      </c>
      <c r="E23" s="4" t="s">
        <v>1510</v>
      </c>
      <c r="F23" s="7" t="s">
        <v>1522</v>
      </c>
      <c r="G23" s="4">
        <v>2</v>
      </c>
      <c r="H23" s="7" t="s">
        <v>1523</v>
      </c>
      <c r="I23" s="7" t="s">
        <v>1524</v>
      </c>
      <c r="J23" s="7" t="s">
        <v>103</v>
      </c>
      <c r="K23" s="7" t="s">
        <v>1525</v>
      </c>
      <c r="L23" s="7" t="s">
        <v>103</v>
      </c>
      <c r="M23" s="7" t="s">
        <v>1526</v>
      </c>
      <c r="N23" s="7" t="s">
        <v>1527</v>
      </c>
      <c r="O23" s="5"/>
      <c r="P23" s="4">
        <v>0</v>
      </c>
      <c r="Q23" s="5" t="str">
        <f t="shared" si="0"/>
        <v/>
      </c>
    </row>
  </sheetData>
  <autoFilter ref="A4:Q4" xr:uid="{00000000-0009-0000-0000-00000A000000}"/>
  <mergeCells count="6">
    <mergeCell ref="A17:Q17"/>
    <mergeCell ref="A1:Q1"/>
    <mergeCell ref="A2:Q2"/>
    <mergeCell ref="A3:P3"/>
    <mergeCell ref="A5:Q5"/>
    <mergeCell ref="A11:Q11"/>
  </mergeCells>
  <conditionalFormatting sqref="A6:A10">
    <cfRule type="expression" dxfId="269" priority="3">
      <formula>$A6="Completed"</formula>
    </cfRule>
    <cfRule type="expression" dxfId="268" priority="4">
      <formula>$A6="In Progress"</formula>
    </cfRule>
    <cfRule type="expression" dxfId="267" priority="5">
      <formula>$A6="Not Started"</formula>
    </cfRule>
    <cfRule type="expression" dxfId="266" priority="6">
      <formula>$A6="Research"</formula>
    </cfRule>
    <cfRule type="expression" dxfId="265" priority="7">
      <formula>$A6="Project"</formula>
    </cfRule>
    <cfRule type="expression" dxfId="264" priority="8">
      <formula>$A6="Optional"</formula>
    </cfRule>
  </conditionalFormatting>
  <conditionalFormatting sqref="A12:A16">
    <cfRule type="expression" dxfId="263" priority="11">
      <formula>$A12="Completed"</formula>
    </cfRule>
    <cfRule type="expression" dxfId="262" priority="12">
      <formula>$A12="In Progress"</formula>
    </cfRule>
    <cfRule type="expression" dxfId="261" priority="13">
      <formula>$A12="Not Started"</formula>
    </cfRule>
    <cfRule type="expression" dxfId="260" priority="14">
      <formula>$A12="Research"</formula>
    </cfRule>
    <cfRule type="expression" dxfId="259" priority="15">
      <formula>$A12="Project"</formula>
    </cfRule>
    <cfRule type="expression" dxfId="258" priority="16">
      <formula>$A12="Optional"</formula>
    </cfRule>
  </conditionalFormatting>
  <conditionalFormatting sqref="A18:A23">
    <cfRule type="expression" dxfId="257" priority="19">
      <formula>$A18="Completed"</formula>
    </cfRule>
    <cfRule type="expression" dxfId="256" priority="20">
      <formula>$A18="In Progress"</formula>
    </cfRule>
    <cfRule type="expression" dxfId="255" priority="21">
      <formula>$A18="Not Started"</formula>
    </cfRule>
    <cfRule type="expression" dxfId="254" priority="22">
      <formula>$A18="Research"</formula>
    </cfRule>
    <cfRule type="expression" dxfId="253" priority="23">
      <formula>$A18="Project"</formula>
    </cfRule>
    <cfRule type="expression" dxfId="252" priority="24">
      <formula>$A18="Optional"</formula>
    </cfRule>
  </conditionalFormatting>
  <conditionalFormatting sqref="Q3">
    <cfRule type="dataBar" priority="2">
      <dataBar>
        <cfvo type="num" val="0"/>
        <cfvo type="num" val="100"/>
        <color rgb="FF8FC1E9"/>
      </dataBar>
      <extLst>
        <ext xmlns:x14="http://schemas.microsoft.com/office/spreadsheetml/2009/9/main" uri="{B025F937-C7B1-47D3-B67F-A62EFF666E3E}">
          <x14:id>{ABB04BD0-71C4-4082-B681-4D401BBF5924}</x14:id>
        </ext>
      </extLst>
    </cfRule>
  </conditionalFormatting>
  <conditionalFormatting sqref="Q6:Q10">
    <cfRule type="expression" dxfId="251" priority="9">
      <formula>AND($Q6&lt;&gt;"",$Q6&lt;TODAY())</formula>
    </cfRule>
    <cfRule type="expression" dxfId="250" priority="10">
      <formula>AND($Q6&lt;&gt;"",$Q6&gt;=TODAY(),$Q6&lt;=TODAY()+3)</formula>
    </cfRule>
  </conditionalFormatting>
  <conditionalFormatting sqref="Q12:Q16">
    <cfRule type="expression" dxfId="249" priority="17">
      <formula>AND($Q12&lt;&gt;"",$Q12&lt;TODAY())</formula>
    </cfRule>
    <cfRule type="expression" dxfId="248" priority="18">
      <formula>AND($Q12&lt;&gt;"",$Q12&gt;=TODAY(),$Q12&lt;=TODAY()+3)</formula>
    </cfRule>
  </conditionalFormatting>
  <conditionalFormatting sqref="Q18:Q23">
    <cfRule type="expression" dxfId="247" priority="25">
      <formula>AND($Q18&lt;&gt;"",$Q18&lt;TODAY())</formula>
    </cfRule>
    <cfRule type="expression" dxfId="246" priority="26">
      <formula>AND($Q18&lt;&gt;"",$Q18&gt;=TODAY(),$Q18&lt;=TODAY()+3)</formula>
    </cfRule>
  </conditionalFormatting>
  <dataValidations count="3">
    <dataValidation type="list" allowBlank="1" sqref="P6:P10 P12:P16 P18:P23" xr:uid="{00000000-0002-0000-0A00-000000000000}">
      <formula1>"0,1,2,3,4,5,6,7"</formula1>
      <formula2>0</formula2>
    </dataValidation>
    <dataValidation type="list" allowBlank="1" sqref="A6:A10 A18:A23 A12:A16" xr:uid="{00000000-0002-0000-0A00-000001000000}">
      <formula1>"Completed,In Progress,Not Started,Research,Project,Optional"</formula1>
      <formula2>0</formula2>
    </dataValidation>
    <dataValidation type="list" allowBlank="1" sqref="D6:D10 D18:D23 D12:D16" xr:uid="{00000000-0002-0000-0A00-000002000000}">
      <formula1>"Intermediate,Advanced,Expert,Research-Level"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BB04BD0-71C4-4082-B681-4D401BBF5924}">
            <x14:dataBar axisPosition="none">
              <x14:cfvo type="num">
                <xm:f>0</xm:f>
              </x14:cfvo>
              <x14:cfvo type="num">
                <xm:f>100</xm:f>
              </x14:cfvo>
              <x14:negativeFillColor rgb="FF8FC1E9"/>
            </x14:dataBar>
          </x14:cfRule>
          <xm:sqref>Q3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23"/>
  <sheetViews>
    <sheetView showGridLines="0" zoomScaleNormal="100" workbookViewId="0">
      <pane ySplit="4" topLeftCell="A18" activePane="bottomLeft" state="frozen"/>
      <selection pane="bottomLeft" sqref="A1:Q1"/>
    </sheetView>
  </sheetViews>
  <sheetFormatPr defaultColWidth="8.6640625" defaultRowHeight="14.4" x14ac:dyDescent="0.3"/>
  <cols>
    <col min="1" max="1" width="12" customWidth="1"/>
    <col min="2" max="2" width="22" customWidth="1"/>
    <col min="3" max="3" width="30" customWidth="1"/>
    <col min="4" max="4" width="12" customWidth="1"/>
    <col min="5" max="5" width="22" customWidth="1"/>
    <col min="6" max="6" width="34" customWidth="1"/>
    <col min="7" max="7" width="9" customWidth="1"/>
    <col min="8" max="8" width="26" customWidth="1"/>
    <col min="9" max="9" width="30" customWidth="1"/>
    <col min="10" max="10" width="24" customWidth="1"/>
    <col min="11" max="12" width="30" customWidth="1"/>
    <col min="13" max="13" width="40" customWidth="1"/>
    <col min="14" max="14" width="30" customWidth="1"/>
    <col min="15" max="15" width="13" customWidth="1"/>
    <col min="16" max="16" width="11" customWidth="1"/>
    <col min="17" max="17" width="13" customWidth="1"/>
  </cols>
  <sheetData>
    <row r="1" spans="1:17" ht="33.75" customHeight="1" x14ac:dyDescent="0.3">
      <c r="A1" s="19" t="s">
        <v>51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ht="15" customHeight="1" x14ac:dyDescent="0.3">
      <c r="A2" s="20" t="s">
        <v>1528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ht="19.5" customHeight="1" x14ac:dyDescent="0.3">
      <c r="A3" s="21" t="s">
        <v>1379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12">
        <f>ROUND(COUNTIF(A5:A23,"Completed")/SUMPRODUCT(COUNTIF(A5:A23,{"Completed","In Progress","Not Started","Research","Project","Optional"}))*100,0)</f>
        <v>0</v>
      </c>
    </row>
    <row r="4" spans="1:17" ht="31.5" customHeight="1" x14ac:dyDescent="0.3">
      <c r="A4" s="1" t="s">
        <v>58</v>
      </c>
      <c r="B4" s="1" t="s">
        <v>6</v>
      </c>
      <c r="C4" s="1" t="s">
        <v>7</v>
      </c>
      <c r="D4" s="1" t="s">
        <v>59</v>
      </c>
      <c r="E4" s="1" t="s">
        <v>60</v>
      </c>
      <c r="F4" s="1" t="s">
        <v>61</v>
      </c>
      <c r="G4" s="1" t="s">
        <v>62</v>
      </c>
      <c r="H4" s="1" t="s">
        <v>63</v>
      </c>
      <c r="I4" s="1" t="s">
        <v>64</v>
      </c>
      <c r="J4" s="1" t="s">
        <v>65</v>
      </c>
      <c r="K4" s="1" t="s">
        <v>66</v>
      </c>
      <c r="L4" s="1" t="s">
        <v>67</v>
      </c>
      <c r="M4" s="1" t="s">
        <v>68</v>
      </c>
      <c r="N4" s="1" t="s">
        <v>11</v>
      </c>
      <c r="O4" s="1" t="s">
        <v>69</v>
      </c>
      <c r="P4" s="1" t="s">
        <v>70</v>
      </c>
      <c r="Q4" s="1" t="s">
        <v>71</v>
      </c>
    </row>
    <row r="5" spans="1:17" ht="30" customHeight="1" x14ac:dyDescent="0.3">
      <c r="A5" s="18" t="s">
        <v>1529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3">
      <c r="A6" s="2" t="s">
        <v>73</v>
      </c>
      <c r="B6" s="2" t="s">
        <v>1530</v>
      </c>
      <c r="C6" s="2" t="s">
        <v>1531</v>
      </c>
      <c r="D6" s="2" t="s">
        <v>76</v>
      </c>
      <c r="E6" s="2" t="s">
        <v>1532</v>
      </c>
      <c r="F6" s="6" t="s">
        <v>1533</v>
      </c>
      <c r="G6" s="2">
        <v>4</v>
      </c>
      <c r="H6" s="6" t="s">
        <v>1534</v>
      </c>
      <c r="I6" s="6" t="s">
        <v>1535</v>
      </c>
      <c r="J6" s="6" t="s">
        <v>1355</v>
      </c>
      <c r="K6" s="6" t="s">
        <v>1536</v>
      </c>
      <c r="L6" s="6" t="s">
        <v>103</v>
      </c>
      <c r="M6" s="6" t="s">
        <v>1537</v>
      </c>
      <c r="N6" s="6" t="s">
        <v>1538</v>
      </c>
      <c r="O6" s="3"/>
      <c r="P6" s="2">
        <v>0</v>
      </c>
      <c r="Q6" s="3" t="str">
        <f>IF(OR(O6="",P6=0),"",O6+CHOOSE(P6,1,3,7,14,30,90,365))</f>
        <v/>
      </c>
    </row>
    <row r="7" spans="1:17" ht="30" customHeight="1" x14ac:dyDescent="0.3">
      <c r="A7" s="4" t="s">
        <v>73</v>
      </c>
      <c r="B7" s="4" t="s">
        <v>1539</v>
      </c>
      <c r="C7" s="4" t="s">
        <v>1540</v>
      </c>
      <c r="D7" s="4" t="s">
        <v>76</v>
      </c>
      <c r="E7" s="4" t="s">
        <v>1530</v>
      </c>
      <c r="F7" s="7" t="s">
        <v>1541</v>
      </c>
      <c r="G7" s="4">
        <v>3</v>
      </c>
      <c r="H7" s="7" t="s">
        <v>1542</v>
      </c>
      <c r="I7" s="7" t="s">
        <v>1543</v>
      </c>
      <c r="J7" s="7" t="s">
        <v>1355</v>
      </c>
      <c r="K7" s="7" t="s">
        <v>1544</v>
      </c>
      <c r="L7" s="7" t="s">
        <v>103</v>
      </c>
      <c r="M7" s="7" t="s">
        <v>1545</v>
      </c>
      <c r="N7" s="7" t="s">
        <v>1546</v>
      </c>
      <c r="O7" s="5"/>
      <c r="P7" s="4">
        <v>0</v>
      </c>
      <c r="Q7" s="5" t="str">
        <f>IF(OR(O7="",P7=0),"",O7+CHOOSE(P7,1,3,7,14,30,90,365))</f>
        <v/>
      </c>
    </row>
    <row r="8" spans="1:17" ht="30" customHeight="1" x14ac:dyDescent="0.3">
      <c r="A8" s="2" t="s">
        <v>73</v>
      </c>
      <c r="B8" s="2" t="s">
        <v>1547</v>
      </c>
      <c r="C8" s="2" t="s">
        <v>1548</v>
      </c>
      <c r="D8" s="2" t="s">
        <v>76</v>
      </c>
      <c r="E8" s="2" t="s">
        <v>1194</v>
      </c>
      <c r="F8" s="6" t="s">
        <v>1549</v>
      </c>
      <c r="G8" s="2">
        <v>3</v>
      </c>
      <c r="H8" s="6" t="s">
        <v>1550</v>
      </c>
      <c r="I8" s="6" t="s">
        <v>1551</v>
      </c>
      <c r="J8" s="6" t="s">
        <v>1552</v>
      </c>
      <c r="K8" s="6" t="s">
        <v>1553</v>
      </c>
      <c r="L8" s="6" t="s">
        <v>103</v>
      </c>
      <c r="M8" s="6" t="s">
        <v>1554</v>
      </c>
      <c r="N8" s="6" t="s">
        <v>1555</v>
      </c>
      <c r="O8" s="3"/>
      <c r="P8" s="2">
        <v>0</v>
      </c>
      <c r="Q8" s="3" t="str">
        <f>IF(OR(O8="",P8=0),"",O8+CHOOSE(P8,1,3,7,14,30,90,365))</f>
        <v/>
      </c>
    </row>
    <row r="9" spans="1:17" ht="30" customHeight="1" x14ac:dyDescent="0.3">
      <c r="A9" s="4" t="s">
        <v>73</v>
      </c>
      <c r="B9" s="4" t="s">
        <v>1556</v>
      </c>
      <c r="C9" s="4" t="s">
        <v>1557</v>
      </c>
      <c r="D9" s="4" t="s">
        <v>76</v>
      </c>
      <c r="E9" s="4" t="s">
        <v>1558</v>
      </c>
      <c r="F9" s="7" t="s">
        <v>1559</v>
      </c>
      <c r="G9" s="4">
        <v>2</v>
      </c>
      <c r="H9" s="7" t="s">
        <v>1560</v>
      </c>
      <c r="I9" s="7" t="s">
        <v>1561</v>
      </c>
      <c r="J9" s="7" t="s">
        <v>1562</v>
      </c>
      <c r="K9" s="7" t="s">
        <v>1563</v>
      </c>
      <c r="L9" s="7" t="s">
        <v>103</v>
      </c>
      <c r="M9" s="7" t="s">
        <v>1564</v>
      </c>
      <c r="N9" s="7" t="s">
        <v>1565</v>
      </c>
      <c r="O9" s="5"/>
      <c r="P9" s="4">
        <v>0</v>
      </c>
      <c r="Q9" s="5" t="str">
        <f>IF(OR(O9="",P9=0),"",O9+CHOOSE(P9,1,3,7,14,30,90,365))</f>
        <v/>
      </c>
    </row>
    <row r="10" spans="1:17" ht="30" customHeight="1" x14ac:dyDescent="0.3">
      <c r="A10" s="18" t="s">
        <v>1566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3">
      <c r="A11" s="2" t="s">
        <v>73</v>
      </c>
      <c r="B11" s="2" t="s">
        <v>1567</v>
      </c>
      <c r="C11" s="2" t="s">
        <v>1568</v>
      </c>
      <c r="D11" s="2" t="s">
        <v>76</v>
      </c>
      <c r="E11" s="2" t="s">
        <v>1569</v>
      </c>
      <c r="F11" s="6" t="s">
        <v>1570</v>
      </c>
      <c r="G11" s="2">
        <v>5</v>
      </c>
      <c r="H11" s="6" t="s">
        <v>1571</v>
      </c>
      <c r="I11" s="6" t="s">
        <v>1572</v>
      </c>
      <c r="J11" s="6" t="s">
        <v>1573</v>
      </c>
      <c r="K11" s="6" t="s">
        <v>1574</v>
      </c>
      <c r="L11" s="6" t="s">
        <v>1575</v>
      </c>
      <c r="M11" s="6" t="s">
        <v>1576</v>
      </c>
      <c r="N11" s="6" t="s">
        <v>1577</v>
      </c>
      <c r="O11" s="3"/>
      <c r="P11" s="2">
        <v>0</v>
      </c>
      <c r="Q11" s="3" t="str">
        <f t="shared" ref="Q11:Q17" si="0">IF(OR(O11="",P11=0),"",O11+CHOOSE(P11,1,3,7,14,30,90,365))</f>
        <v/>
      </c>
    </row>
    <row r="12" spans="1:17" ht="30" customHeight="1" x14ac:dyDescent="0.3">
      <c r="A12" s="4" t="s">
        <v>73</v>
      </c>
      <c r="B12" s="4" t="s">
        <v>1578</v>
      </c>
      <c r="C12" s="4" t="s">
        <v>1579</v>
      </c>
      <c r="D12" s="4" t="s">
        <v>76</v>
      </c>
      <c r="E12" s="4" t="s">
        <v>1580</v>
      </c>
      <c r="F12" s="7" t="s">
        <v>1581</v>
      </c>
      <c r="G12" s="4">
        <v>4</v>
      </c>
      <c r="H12" s="7" t="s">
        <v>1582</v>
      </c>
      <c r="I12" s="7" t="s">
        <v>1572</v>
      </c>
      <c r="J12" s="7" t="s">
        <v>103</v>
      </c>
      <c r="K12" s="7" t="s">
        <v>1583</v>
      </c>
      <c r="L12" s="7" t="s">
        <v>103</v>
      </c>
      <c r="M12" s="7" t="s">
        <v>1584</v>
      </c>
      <c r="N12" s="7" t="s">
        <v>1585</v>
      </c>
      <c r="O12" s="5"/>
      <c r="P12" s="4">
        <v>0</v>
      </c>
      <c r="Q12" s="5" t="str">
        <f t="shared" si="0"/>
        <v/>
      </c>
    </row>
    <row r="13" spans="1:17" ht="30" customHeight="1" x14ac:dyDescent="0.3">
      <c r="A13" s="2" t="s">
        <v>73</v>
      </c>
      <c r="B13" s="2" t="s">
        <v>1586</v>
      </c>
      <c r="C13" s="2" t="s">
        <v>1587</v>
      </c>
      <c r="D13" s="2" t="s">
        <v>138</v>
      </c>
      <c r="E13" s="2" t="s">
        <v>1588</v>
      </c>
      <c r="F13" s="6" t="s">
        <v>1589</v>
      </c>
      <c r="G13" s="2">
        <v>4</v>
      </c>
      <c r="H13" s="6" t="s">
        <v>1590</v>
      </c>
      <c r="I13" s="6" t="s">
        <v>1591</v>
      </c>
      <c r="J13" s="6" t="s">
        <v>103</v>
      </c>
      <c r="K13" s="6" t="s">
        <v>1592</v>
      </c>
      <c r="L13" s="6" t="s">
        <v>103</v>
      </c>
      <c r="M13" s="6" t="s">
        <v>1593</v>
      </c>
      <c r="N13" s="6" t="s">
        <v>1594</v>
      </c>
      <c r="O13" s="3"/>
      <c r="P13" s="2">
        <v>0</v>
      </c>
      <c r="Q13" s="3" t="str">
        <f t="shared" si="0"/>
        <v/>
      </c>
    </row>
    <row r="14" spans="1:17" ht="30" customHeight="1" x14ac:dyDescent="0.3">
      <c r="A14" s="4" t="s">
        <v>73</v>
      </c>
      <c r="B14" s="4" t="s">
        <v>1595</v>
      </c>
      <c r="C14" s="4" t="s">
        <v>1596</v>
      </c>
      <c r="D14" s="4" t="s">
        <v>76</v>
      </c>
      <c r="E14" s="4" t="s">
        <v>1578</v>
      </c>
      <c r="F14" s="7" t="s">
        <v>1597</v>
      </c>
      <c r="G14" s="4">
        <v>2</v>
      </c>
      <c r="H14" s="7" t="s">
        <v>1598</v>
      </c>
      <c r="I14" s="7" t="s">
        <v>1599</v>
      </c>
      <c r="J14" s="7" t="s">
        <v>103</v>
      </c>
      <c r="K14" s="7" t="s">
        <v>1600</v>
      </c>
      <c r="L14" s="7" t="s">
        <v>103</v>
      </c>
      <c r="M14" s="7" t="s">
        <v>1601</v>
      </c>
      <c r="N14" s="7" t="s">
        <v>1602</v>
      </c>
      <c r="O14" s="5"/>
      <c r="P14" s="4">
        <v>0</v>
      </c>
      <c r="Q14" s="5" t="str">
        <f t="shared" si="0"/>
        <v/>
      </c>
    </row>
    <row r="15" spans="1:17" ht="30" customHeight="1" x14ac:dyDescent="0.3">
      <c r="A15" s="2" t="s">
        <v>73</v>
      </c>
      <c r="B15" s="2" t="s">
        <v>1603</v>
      </c>
      <c r="C15" s="2" t="s">
        <v>1604</v>
      </c>
      <c r="D15" s="2" t="s">
        <v>76</v>
      </c>
      <c r="E15" s="2" t="s">
        <v>1530</v>
      </c>
      <c r="F15" s="6" t="s">
        <v>1605</v>
      </c>
      <c r="G15" s="2">
        <v>2</v>
      </c>
      <c r="H15" s="6" t="s">
        <v>1606</v>
      </c>
      <c r="I15" s="6" t="s">
        <v>1607</v>
      </c>
      <c r="J15" s="6" t="s">
        <v>103</v>
      </c>
      <c r="K15" s="6" t="s">
        <v>1608</v>
      </c>
      <c r="L15" s="6" t="s">
        <v>103</v>
      </c>
      <c r="M15" s="6" t="s">
        <v>1609</v>
      </c>
      <c r="N15" s="6" t="s">
        <v>1610</v>
      </c>
      <c r="O15" s="3"/>
      <c r="P15" s="2">
        <v>0</v>
      </c>
      <c r="Q15" s="3" t="str">
        <f t="shared" si="0"/>
        <v/>
      </c>
    </row>
    <row r="16" spans="1:17" ht="30" customHeight="1" x14ac:dyDescent="0.3">
      <c r="A16" s="4" t="s">
        <v>73</v>
      </c>
      <c r="B16" s="4" t="s">
        <v>1611</v>
      </c>
      <c r="C16" s="4" t="s">
        <v>1612</v>
      </c>
      <c r="D16" s="4" t="s">
        <v>138</v>
      </c>
      <c r="E16" s="4" t="s">
        <v>1613</v>
      </c>
      <c r="F16" s="7" t="s">
        <v>1614</v>
      </c>
      <c r="G16" s="4">
        <v>5</v>
      </c>
      <c r="H16" s="7" t="s">
        <v>1615</v>
      </c>
      <c r="I16" s="7" t="s">
        <v>1616</v>
      </c>
      <c r="J16" s="7" t="s">
        <v>1617</v>
      </c>
      <c r="K16" s="7" t="s">
        <v>1618</v>
      </c>
      <c r="L16" s="7" t="s">
        <v>103</v>
      </c>
      <c r="M16" s="7" t="s">
        <v>1619</v>
      </c>
      <c r="N16" s="7" t="s">
        <v>1620</v>
      </c>
      <c r="O16" s="5"/>
      <c r="P16" s="4">
        <v>0</v>
      </c>
      <c r="Q16" s="5" t="str">
        <f t="shared" si="0"/>
        <v/>
      </c>
    </row>
    <row r="17" spans="1:17" ht="30" customHeight="1" x14ac:dyDescent="0.3">
      <c r="A17" s="2" t="s">
        <v>73</v>
      </c>
      <c r="B17" s="2" t="s">
        <v>1621</v>
      </c>
      <c r="C17" s="2" t="s">
        <v>1622</v>
      </c>
      <c r="D17" s="2" t="s">
        <v>138</v>
      </c>
      <c r="E17" s="2" t="s">
        <v>1567</v>
      </c>
      <c r="F17" s="6" t="s">
        <v>1623</v>
      </c>
      <c r="G17" s="2">
        <v>4</v>
      </c>
      <c r="H17" s="6" t="s">
        <v>1624</v>
      </c>
      <c r="I17" s="6" t="s">
        <v>1625</v>
      </c>
      <c r="J17" s="6" t="s">
        <v>103</v>
      </c>
      <c r="K17" s="6" t="s">
        <v>1626</v>
      </c>
      <c r="L17" s="6" t="s">
        <v>103</v>
      </c>
      <c r="M17" s="6" t="s">
        <v>1627</v>
      </c>
      <c r="N17" s="6" t="s">
        <v>1628</v>
      </c>
      <c r="O17" s="3"/>
      <c r="P17" s="2">
        <v>0</v>
      </c>
      <c r="Q17" s="3" t="str">
        <f t="shared" si="0"/>
        <v/>
      </c>
    </row>
    <row r="18" spans="1:17" ht="30" customHeight="1" x14ac:dyDescent="0.3">
      <c r="A18" s="18" t="s">
        <v>1629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</row>
    <row r="19" spans="1:17" ht="30" customHeight="1" x14ac:dyDescent="0.3">
      <c r="A19" s="4" t="s">
        <v>73</v>
      </c>
      <c r="B19" s="4" t="s">
        <v>1630</v>
      </c>
      <c r="C19" s="4" t="s">
        <v>1631</v>
      </c>
      <c r="D19" s="4" t="s">
        <v>76</v>
      </c>
      <c r="E19" s="4" t="s">
        <v>1539</v>
      </c>
      <c r="F19" s="7" t="s">
        <v>1632</v>
      </c>
      <c r="G19" s="4">
        <v>3</v>
      </c>
      <c r="H19" s="7" t="s">
        <v>1633</v>
      </c>
      <c r="I19" s="7" t="s">
        <v>1634</v>
      </c>
      <c r="J19" s="7" t="s">
        <v>1635</v>
      </c>
      <c r="K19" s="7" t="s">
        <v>1636</v>
      </c>
      <c r="L19" s="7" t="s">
        <v>103</v>
      </c>
      <c r="M19" s="7" t="s">
        <v>1637</v>
      </c>
      <c r="N19" s="7" t="s">
        <v>1638</v>
      </c>
      <c r="O19" s="5"/>
      <c r="P19" s="4">
        <v>0</v>
      </c>
      <c r="Q19" s="5" t="str">
        <f>IF(OR(O19="",P19=0),"",O19+CHOOSE(P19,1,3,7,14,30,90,365))</f>
        <v/>
      </c>
    </row>
    <row r="20" spans="1:17" ht="30" customHeight="1" x14ac:dyDescent="0.3">
      <c r="A20" s="2" t="s">
        <v>73</v>
      </c>
      <c r="B20" s="2" t="s">
        <v>1639</v>
      </c>
      <c r="C20" s="2" t="s">
        <v>1640</v>
      </c>
      <c r="D20" s="2" t="s">
        <v>76</v>
      </c>
      <c r="E20" s="2" t="s">
        <v>1281</v>
      </c>
      <c r="F20" s="6" t="s">
        <v>1641</v>
      </c>
      <c r="G20" s="2">
        <v>3</v>
      </c>
      <c r="H20" s="6" t="s">
        <v>1642</v>
      </c>
      <c r="I20" s="6" t="s">
        <v>1643</v>
      </c>
      <c r="J20" s="6" t="s">
        <v>1644</v>
      </c>
      <c r="K20" s="6" t="s">
        <v>1645</v>
      </c>
      <c r="L20" s="6" t="s">
        <v>103</v>
      </c>
      <c r="M20" s="6" t="s">
        <v>1646</v>
      </c>
      <c r="N20" s="6" t="s">
        <v>1647</v>
      </c>
      <c r="O20" s="3"/>
      <c r="P20" s="2">
        <v>0</v>
      </c>
      <c r="Q20" s="3" t="str">
        <f>IF(OR(O20="",P20=0),"",O20+CHOOSE(P20,1,3,7,14,30,90,365))</f>
        <v/>
      </c>
    </row>
    <row r="21" spans="1:17" ht="30" customHeight="1" x14ac:dyDescent="0.3">
      <c r="A21" s="4" t="s">
        <v>73</v>
      </c>
      <c r="B21" s="4" t="s">
        <v>1648</v>
      </c>
      <c r="C21" s="4" t="s">
        <v>1649</v>
      </c>
      <c r="D21" s="4" t="s">
        <v>138</v>
      </c>
      <c r="E21" s="4" t="s">
        <v>1650</v>
      </c>
      <c r="F21" s="7" t="s">
        <v>1651</v>
      </c>
      <c r="G21" s="4">
        <v>5</v>
      </c>
      <c r="H21" s="7" t="s">
        <v>1652</v>
      </c>
      <c r="I21" s="7" t="s">
        <v>1653</v>
      </c>
      <c r="J21" s="7" t="s">
        <v>1654</v>
      </c>
      <c r="K21" s="7" t="s">
        <v>1655</v>
      </c>
      <c r="L21" s="7" t="s">
        <v>103</v>
      </c>
      <c r="M21" s="7" t="s">
        <v>1656</v>
      </c>
      <c r="N21" s="7" t="s">
        <v>1657</v>
      </c>
      <c r="O21" s="5"/>
      <c r="P21" s="4">
        <v>0</v>
      </c>
      <c r="Q21" s="5" t="str">
        <f>IF(OR(O21="",P21=0),"",O21+CHOOSE(P21,1,3,7,14,30,90,365))</f>
        <v/>
      </c>
    </row>
    <row r="22" spans="1:17" ht="30" customHeight="1" x14ac:dyDescent="0.3">
      <c r="A22" s="2" t="s">
        <v>73</v>
      </c>
      <c r="B22" s="2" t="s">
        <v>1658</v>
      </c>
      <c r="C22" s="2" t="s">
        <v>1659</v>
      </c>
      <c r="D22" s="2" t="s">
        <v>76</v>
      </c>
      <c r="E22" s="2" t="s">
        <v>1660</v>
      </c>
      <c r="F22" s="6" t="s">
        <v>1661</v>
      </c>
      <c r="G22" s="2">
        <v>3</v>
      </c>
      <c r="H22" s="6" t="s">
        <v>1662</v>
      </c>
      <c r="I22" s="6" t="s">
        <v>1663</v>
      </c>
      <c r="J22" s="6" t="s">
        <v>1562</v>
      </c>
      <c r="K22" s="6" t="s">
        <v>1664</v>
      </c>
      <c r="L22" s="6" t="s">
        <v>103</v>
      </c>
      <c r="M22" s="6" t="s">
        <v>1665</v>
      </c>
      <c r="N22" s="6" t="s">
        <v>1666</v>
      </c>
      <c r="O22" s="3"/>
      <c r="P22" s="2">
        <v>0</v>
      </c>
      <c r="Q22" s="3" t="str">
        <f>IF(OR(O22="",P22=0),"",O22+CHOOSE(P22,1,3,7,14,30,90,365))</f>
        <v/>
      </c>
    </row>
    <row r="23" spans="1:17" ht="30" customHeight="1" x14ac:dyDescent="0.3">
      <c r="A23" s="4" t="s">
        <v>73</v>
      </c>
      <c r="B23" s="4" t="s">
        <v>1667</v>
      </c>
      <c r="C23" s="4" t="s">
        <v>1668</v>
      </c>
      <c r="D23" s="4" t="s">
        <v>138</v>
      </c>
      <c r="E23" s="4" t="s">
        <v>1669</v>
      </c>
      <c r="F23" s="7" t="s">
        <v>1670</v>
      </c>
      <c r="G23" s="4">
        <v>4</v>
      </c>
      <c r="H23" s="7" t="s">
        <v>1671</v>
      </c>
      <c r="I23" s="7" t="s">
        <v>1672</v>
      </c>
      <c r="J23" s="7" t="s">
        <v>1673</v>
      </c>
      <c r="K23" s="7" t="s">
        <v>1674</v>
      </c>
      <c r="L23" s="7" t="s">
        <v>1675</v>
      </c>
      <c r="M23" s="7" t="s">
        <v>1676</v>
      </c>
      <c r="N23" s="7" t="s">
        <v>1677</v>
      </c>
      <c r="O23" s="5"/>
      <c r="P23" s="4">
        <v>0</v>
      </c>
      <c r="Q23" s="5" t="str">
        <f>IF(OR(O23="",P23=0),"",O23+CHOOSE(P23,1,3,7,14,30,90,365))</f>
        <v/>
      </c>
    </row>
  </sheetData>
  <autoFilter ref="A4:Q4" xr:uid="{00000000-0009-0000-0000-00000B000000}"/>
  <mergeCells count="6">
    <mergeCell ref="A18:Q18"/>
    <mergeCell ref="A1:Q1"/>
    <mergeCell ref="A2:Q2"/>
    <mergeCell ref="A3:P3"/>
    <mergeCell ref="A5:Q5"/>
    <mergeCell ref="A10:Q10"/>
  </mergeCells>
  <conditionalFormatting sqref="A6:A9">
    <cfRule type="expression" dxfId="245" priority="3">
      <formula>$A6="Completed"</formula>
    </cfRule>
    <cfRule type="expression" dxfId="244" priority="4">
      <formula>$A6="In Progress"</formula>
    </cfRule>
    <cfRule type="expression" dxfId="243" priority="5">
      <formula>$A6="Not Started"</formula>
    </cfRule>
    <cfRule type="expression" dxfId="242" priority="6">
      <formula>$A6="Research"</formula>
    </cfRule>
    <cfRule type="expression" dxfId="241" priority="7">
      <formula>$A6="Project"</formula>
    </cfRule>
    <cfRule type="expression" dxfId="240" priority="8">
      <formula>$A6="Optional"</formula>
    </cfRule>
  </conditionalFormatting>
  <conditionalFormatting sqref="A11:A17">
    <cfRule type="expression" dxfId="239" priority="11">
      <formula>$A11="Completed"</formula>
    </cfRule>
    <cfRule type="expression" dxfId="238" priority="12">
      <formula>$A11="In Progress"</formula>
    </cfRule>
    <cfRule type="expression" dxfId="237" priority="13">
      <formula>$A11="Not Started"</formula>
    </cfRule>
    <cfRule type="expression" dxfId="236" priority="14">
      <formula>$A11="Research"</formula>
    </cfRule>
    <cfRule type="expression" dxfId="235" priority="15">
      <formula>$A11="Project"</formula>
    </cfRule>
    <cfRule type="expression" dxfId="234" priority="16">
      <formula>$A11="Optional"</formula>
    </cfRule>
  </conditionalFormatting>
  <conditionalFormatting sqref="A19:A23">
    <cfRule type="expression" dxfId="233" priority="19">
      <formula>$A19="Completed"</formula>
    </cfRule>
    <cfRule type="expression" dxfId="232" priority="20">
      <formula>$A19="In Progress"</formula>
    </cfRule>
    <cfRule type="expression" dxfId="231" priority="21">
      <formula>$A19="Not Started"</formula>
    </cfRule>
    <cfRule type="expression" dxfId="230" priority="22">
      <formula>$A19="Research"</formula>
    </cfRule>
    <cfRule type="expression" dxfId="229" priority="23">
      <formula>$A19="Project"</formula>
    </cfRule>
    <cfRule type="expression" dxfId="228" priority="24">
      <formula>$A19="Optional"</formula>
    </cfRule>
  </conditionalFormatting>
  <conditionalFormatting sqref="Q3">
    <cfRule type="dataBar" priority="2">
      <dataBar>
        <cfvo type="num" val="0"/>
        <cfvo type="num" val="100"/>
        <color rgb="FF8FC1E9"/>
      </dataBar>
      <extLst>
        <ext xmlns:x14="http://schemas.microsoft.com/office/spreadsheetml/2009/9/main" uri="{B025F937-C7B1-47D3-B67F-A62EFF666E3E}">
          <x14:id>{DE3F2D20-4A43-4C2B-87AB-6DBE10172AD4}</x14:id>
        </ext>
      </extLst>
    </cfRule>
  </conditionalFormatting>
  <conditionalFormatting sqref="Q6:Q9">
    <cfRule type="expression" dxfId="227" priority="9">
      <formula>AND($Q6&lt;&gt;"",$Q6&lt;TODAY())</formula>
    </cfRule>
    <cfRule type="expression" dxfId="226" priority="10">
      <formula>AND($Q6&lt;&gt;"",$Q6&gt;=TODAY(),$Q6&lt;=TODAY()+3)</formula>
    </cfRule>
  </conditionalFormatting>
  <conditionalFormatting sqref="Q11:Q17">
    <cfRule type="expression" dxfId="225" priority="17">
      <formula>AND($Q11&lt;&gt;"",$Q11&lt;TODAY())</formula>
    </cfRule>
    <cfRule type="expression" dxfId="224" priority="18">
      <formula>AND($Q11&lt;&gt;"",$Q11&gt;=TODAY(),$Q11&lt;=TODAY()+3)</formula>
    </cfRule>
  </conditionalFormatting>
  <conditionalFormatting sqref="Q19:Q23">
    <cfRule type="expression" dxfId="223" priority="25">
      <formula>AND($Q19&lt;&gt;"",$Q19&lt;TODAY())</formula>
    </cfRule>
    <cfRule type="expression" dxfId="222" priority="26">
      <formula>AND($Q19&lt;&gt;"",$Q19&gt;=TODAY(),$Q19&lt;=TODAY()+3)</formula>
    </cfRule>
  </conditionalFormatting>
  <dataValidations count="3">
    <dataValidation type="list" allowBlank="1" sqref="P6:P9 P11:P17 P19:P23" xr:uid="{00000000-0002-0000-0B00-000000000000}">
      <formula1>"0,1,2,3,4,5,6,7"</formula1>
      <formula2>0</formula2>
    </dataValidation>
    <dataValidation type="list" allowBlank="1" sqref="A6:A9 A19:A23 A11:A17" xr:uid="{00000000-0002-0000-0B00-000001000000}">
      <formula1>"Completed,In Progress,Not Started,Research,Project,Optional"</formula1>
      <formula2>0</formula2>
    </dataValidation>
    <dataValidation type="list" allowBlank="1" sqref="D6:D9 D19:D23 D11:D17" xr:uid="{00000000-0002-0000-0B00-000002000000}">
      <formula1>"Intermediate,Advanced,Expert,Research-Level"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E3F2D20-4A43-4C2B-87AB-6DBE10172AD4}">
            <x14:dataBar axisPosition="none">
              <x14:cfvo type="num">
                <xm:f>0</xm:f>
              </x14:cfvo>
              <x14:cfvo type="num">
                <xm:f>100</xm:f>
              </x14:cfvo>
              <x14:negativeFillColor rgb="FF8FC1E9"/>
            </x14:dataBar>
          </x14:cfRule>
          <xm:sqref>Q3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37"/>
  <sheetViews>
    <sheetView showGridLines="0" topLeftCell="D1" zoomScaleNormal="100" workbookViewId="0">
      <pane ySplit="4" topLeftCell="A30" activePane="bottomLeft" state="frozen"/>
      <selection pane="bottomLeft" sqref="A1:Q1"/>
    </sheetView>
  </sheetViews>
  <sheetFormatPr defaultColWidth="8.6640625" defaultRowHeight="14.4" x14ac:dyDescent="0.3"/>
  <cols>
    <col min="1" max="1" width="12" customWidth="1"/>
    <col min="2" max="2" width="22" customWidth="1"/>
    <col min="3" max="3" width="30" customWidth="1"/>
    <col min="4" max="4" width="12" customWidth="1"/>
    <col min="5" max="5" width="22" customWidth="1"/>
    <col min="6" max="6" width="34" customWidth="1"/>
    <col min="7" max="7" width="9" customWidth="1"/>
    <col min="8" max="8" width="26" customWidth="1"/>
    <col min="9" max="9" width="30" customWidth="1"/>
    <col min="10" max="10" width="24" customWidth="1"/>
    <col min="11" max="12" width="30" customWidth="1"/>
    <col min="13" max="13" width="40" customWidth="1"/>
    <col min="14" max="14" width="30" customWidth="1"/>
    <col min="15" max="15" width="13" customWidth="1"/>
    <col min="16" max="16" width="11" customWidth="1"/>
    <col min="17" max="17" width="13" customWidth="1"/>
  </cols>
  <sheetData>
    <row r="1" spans="1:17" ht="33.75" customHeight="1" x14ac:dyDescent="0.3">
      <c r="A1" s="19" t="s">
        <v>52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ht="15" customHeight="1" x14ac:dyDescent="0.3">
      <c r="A2" s="20" t="s">
        <v>1678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ht="19.5" customHeight="1" x14ac:dyDescent="0.3">
      <c r="A3" s="21" t="s">
        <v>335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12">
        <f>ROUND(COUNTIF(A5:A37,"Completed")/SUMPRODUCT(COUNTIF(A5:A37,{"Completed","In Progress","Not Started","Research","Project","Optional"}))*100,0)</f>
        <v>0</v>
      </c>
    </row>
    <row r="4" spans="1:17" ht="31.5" customHeight="1" x14ac:dyDescent="0.3">
      <c r="A4" s="1" t="s">
        <v>58</v>
      </c>
      <c r="B4" s="1" t="s">
        <v>6</v>
      </c>
      <c r="C4" s="1" t="s">
        <v>7</v>
      </c>
      <c r="D4" s="1" t="s">
        <v>59</v>
      </c>
      <c r="E4" s="1" t="s">
        <v>60</v>
      </c>
      <c r="F4" s="1" t="s">
        <v>61</v>
      </c>
      <c r="G4" s="1" t="s">
        <v>62</v>
      </c>
      <c r="H4" s="1" t="s">
        <v>63</v>
      </c>
      <c r="I4" s="1" t="s">
        <v>64</v>
      </c>
      <c r="J4" s="1" t="s">
        <v>65</v>
      </c>
      <c r="K4" s="1" t="s">
        <v>66</v>
      </c>
      <c r="L4" s="1" t="s">
        <v>67</v>
      </c>
      <c r="M4" s="1" t="s">
        <v>68</v>
      </c>
      <c r="N4" s="1" t="s">
        <v>11</v>
      </c>
      <c r="O4" s="1" t="s">
        <v>69</v>
      </c>
      <c r="P4" s="1" t="s">
        <v>70</v>
      </c>
      <c r="Q4" s="1" t="s">
        <v>71</v>
      </c>
    </row>
    <row r="5" spans="1:17" ht="30" customHeight="1" x14ac:dyDescent="0.3">
      <c r="A5" s="18" t="s">
        <v>1679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3">
      <c r="A6" s="2" t="s">
        <v>73</v>
      </c>
      <c r="B6" s="2" t="s">
        <v>1680</v>
      </c>
      <c r="C6" s="2" t="s">
        <v>1681</v>
      </c>
      <c r="D6" s="2" t="s">
        <v>76</v>
      </c>
      <c r="E6" s="2" t="s">
        <v>1682</v>
      </c>
      <c r="F6" s="6" t="s">
        <v>1683</v>
      </c>
      <c r="G6" s="2">
        <v>2</v>
      </c>
      <c r="H6" s="6" t="s">
        <v>1684</v>
      </c>
      <c r="I6" s="6" t="s">
        <v>1685</v>
      </c>
      <c r="J6" s="6" t="s">
        <v>1686</v>
      </c>
      <c r="K6" s="6" t="s">
        <v>1687</v>
      </c>
      <c r="L6" s="6" t="s">
        <v>103</v>
      </c>
      <c r="M6" s="6" t="s">
        <v>1688</v>
      </c>
      <c r="N6" s="6" t="s">
        <v>1689</v>
      </c>
      <c r="O6" s="3"/>
      <c r="P6" s="2">
        <v>0</v>
      </c>
      <c r="Q6" s="3" t="str">
        <f>IF(OR(O6="",P6=0),"",O6+CHOOSE(P6,1,3,7,14,30,90,365))</f>
        <v/>
      </c>
    </row>
    <row r="7" spans="1:17" ht="30" customHeight="1" x14ac:dyDescent="0.3">
      <c r="A7" s="4" t="s">
        <v>73</v>
      </c>
      <c r="B7" s="4" t="s">
        <v>1690</v>
      </c>
      <c r="C7" s="4" t="s">
        <v>1691</v>
      </c>
      <c r="D7" s="4" t="s">
        <v>76</v>
      </c>
      <c r="E7" s="4" t="s">
        <v>1680</v>
      </c>
      <c r="F7" s="7" t="s">
        <v>1692</v>
      </c>
      <c r="G7" s="4">
        <v>3</v>
      </c>
      <c r="H7" s="7" t="s">
        <v>1693</v>
      </c>
      <c r="I7" s="7" t="s">
        <v>1694</v>
      </c>
      <c r="J7" s="7" t="s">
        <v>1695</v>
      </c>
      <c r="K7" s="7" t="s">
        <v>1696</v>
      </c>
      <c r="L7" s="7" t="s">
        <v>1697</v>
      </c>
      <c r="M7" s="7" t="s">
        <v>1698</v>
      </c>
      <c r="N7" s="7" t="s">
        <v>1699</v>
      </c>
      <c r="O7" s="5"/>
      <c r="P7" s="4">
        <v>0</v>
      </c>
      <c r="Q7" s="5" t="str">
        <f>IF(OR(O7="",P7=0),"",O7+CHOOSE(P7,1,3,7,14,30,90,365))</f>
        <v/>
      </c>
    </row>
    <row r="8" spans="1:17" ht="30" customHeight="1" x14ac:dyDescent="0.3">
      <c r="A8" s="2" t="s">
        <v>73</v>
      </c>
      <c r="B8" s="2" t="s">
        <v>1700</v>
      </c>
      <c r="C8" s="2" t="s">
        <v>1701</v>
      </c>
      <c r="D8" s="2" t="s">
        <v>76</v>
      </c>
      <c r="E8" s="2" t="s">
        <v>1690</v>
      </c>
      <c r="F8" s="6" t="s">
        <v>1702</v>
      </c>
      <c r="G8" s="2">
        <v>2</v>
      </c>
      <c r="H8" s="6" t="s">
        <v>1703</v>
      </c>
      <c r="I8" s="6" t="s">
        <v>1704</v>
      </c>
      <c r="J8" s="6" t="s">
        <v>1705</v>
      </c>
      <c r="K8" s="6" t="s">
        <v>1706</v>
      </c>
      <c r="L8" s="6" t="s">
        <v>103</v>
      </c>
      <c r="M8" s="6" t="s">
        <v>1707</v>
      </c>
      <c r="N8" s="6" t="s">
        <v>1708</v>
      </c>
      <c r="O8" s="3"/>
      <c r="P8" s="2">
        <v>0</v>
      </c>
      <c r="Q8" s="3" t="str">
        <f>IF(OR(O8="",P8=0),"",O8+CHOOSE(P8,1,3,7,14,30,90,365))</f>
        <v/>
      </c>
    </row>
    <row r="9" spans="1:17" ht="30" customHeight="1" x14ac:dyDescent="0.3">
      <c r="A9" s="4" t="s">
        <v>73</v>
      </c>
      <c r="B9" s="4" t="s">
        <v>1709</v>
      </c>
      <c r="C9" s="4" t="s">
        <v>1710</v>
      </c>
      <c r="D9" s="4" t="s">
        <v>76</v>
      </c>
      <c r="E9" s="4" t="s">
        <v>1690</v>
      </c>
      <c r="F9" s="7" t="s">
        <v>1711</v>
      </c>
      <c r="G9" s="4">
        <v>2</v>
      </c>
      <c r="H9" s="7" t="s">
        <v>1712</v>
      </c>
      <c r="I9" s="7" t="s">
        <v>1713</v>
      </c>
      <c r="J9" s="7" t="s">
        <v>1714</v>
      </c>
      <c r="K9" s="7" t="s">
        <v>1715</v>
      </c>
      <c r="L9" s="7" t="s">
        <v>103</v>
      </c>
      <c r="M9" s="7" t="s">
        <v>1716</v>
      </c>
      <c r="N9" s="7" t="s">
        <v>1717</v>
      </c>
      <c r="O9" s="5"/>
      <c r="P9" s="4">
        <v>0</v>
      </c>
      <c r="Q9" s="5" t="str">
        <f>IF(OR(O9="",P9=0),"",O9+CHOOSE(P9,1,3,7,14,30,90,365))</f>
        <v/>
      </c>
    </row>
    <row r="10" spans="1:17" ht="30" customHeight="1" x14ac:dyDescent="0.3">
      <c r="A10" s="18" t="s">
        <v>1718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3">
      <c r="A11" s="2" t="s">
        <v>73</v>
      </c>
      <c r="B11" s="2" t="s">
        <v>1719</v>
      </c>
      <c r="C11" s="2" t="s">
        <v>1720</v>
      </c>
      <c r="D11" s="2" t="s">
        <v>76</v>
      </c>
      <c r="E11" s="2" t="s">
        <v>1578</v>
      </c>
      <c r="F11" s="6" t="s">
        <v>1721</v>
      </c>
      <c r="G11" s="2">
        <v>3</v>
      </c>
      <c r="H11" s="6" t="s">
        <v>1722</v>
      </c>
      <c r="I11" s="6" t="s">
        <v>1723</v>
      </c>
      <c r="J11" s="6" t="s">
        <v>1724</v>
      </c>
      <c r="K11" s="6" t="s">
        <v>1725</v>
      </c>
      <c r="L11" s="6" t="s">
        <v>103</v>
      </c>
      <c r="M11" s="6" t="s">
        <v>1726</v>
      </c>
      <c r="N11" s="6" t="s">
        <v>1727</v>
      </c>
      <c r="O11" s="3"/>
      <c r="P11" s="2">
        <v>0</v>
      </c>
      <c r="Q11" s="3" t="str">
        <f>IF(OR(O11="",P11=0),"",O11+CHOOSE(P11,1,3,7,14,30,90,365))</f>
        <v/>
      </c>
    </row>
    <row r="12" spans="1:17" ht="30" customHeight="1" x14ac:dyDescent="0.3">
      <c r="A12" s="4" t="s">
        <v>73</v>
      </c>
      <c r="B12" s="4" t="s">
        <v>1728</v>
      </c>
      <c r="C12" s="4" t="s">
        <v>1729</v>
      </c>
      <c r="D12" s="4" t="s">
        <v>138</v>
      </c>
      <c r="E12" s="4" t="s">
        <v>1730</v>
      </c>
      <c r="F12" s="7" t="s">
        <v>1731</v>
      </c>
      <c r="G12" s="4">
        <v>4</v>
      </c>
      <c r="H12" s="7" t="s">
        <v>1732</v>
      </c>
      <c r="I12" s="7" t="s">
        <v>1733</v>
      </c>
      <c r="J12" s="7" t="s">
        <v>1734</v>
      </c>
      <c r="K12" s="7" t="s">
        <v>1735</v>
      </c>
      <c r="L12" s="7" t="s">
        <v>103</v>
      </c>
      <c r="M12" s="7" t="s">
        <v>1736</v>
      </c>
      <c r="N12" s="7" t="s">
        <v>1737</v>
      </c>
      <c r="O12" s="5"/>
      <c r="P12" s="4">
        <v>0</v>
      </c>
      <c r="Q12" s="5" t="str">
        <f>IF(OR(O12="",P12=0),"",O12+CHOOSE(P12,1,3,7,14,30,90,365))</f>
        <v/>
      </c>
    </row>
    <row r="13" spans="1:17" ht="30" customHeight="1" x14ac:dyDescent="0.3">
      <c r="A13" s="2" t="s">
        <v>73</v>
      </c>
      <c r="B13" s="2" t="s">
        <v>1738</v>
      </c>
      <c r="C13" s="2" t="s">
        <v>1739</v>
      </c>
      <c r="D13" s="2" t="s">
        <v>138</v>
      </c>
      <c r="E13" s="2" t="s">
        <v>1728</v>
      </c>
      <c r="F13" s="6" t="s">
        <v>1740</v>
      </c>
      <c r="G13" s="2">
        <v>3</v>
      </c>
      <c r="H13" s="6" t="s">
        <v>1741</v>
      </c>
      <c r="I13" s="6" t="s">
        <v>1742</v>
      </c>
      <c r="J13" s="6" t="s">
        <v>1743</v>
      </c>
      <c r="K13" s="6" t="s">
        <v>1744</v>
      </c>
      <c r="L13" s="6" t="s">
        <v>103</v>
      </c>
      <c r="M13" s="6" t="s">
        <v>1745</v>
      </c>
      <c r="N13" s="6" t="s">
        <v>1746</v>
      </c>
      <c r="O13" s="3"/>
      <c r="P13" s="2">
        <v>0</v>
      </c>
      <c r="Q13" s="3" t="str">
        <f>IF(OR(O13="",P13=0),"",O13+CHOOSE(P13,1,3,7,14,30,90,365))</f>
        <v/>
      </c>
    </row>
    <row r="14" spans="1:17" ht="30" customHeight="1" x14ac:dyDescent="0.3">
      <c r="A14" s="4" t="s">
        <v>73</v>
      </c>
      <c r="B14" s="4" t="s">
        <v>1747</v>
      </c>
      <c r="C14" s="4" t="s">
        <v>1748</v>
      </c>
      <c r="D14" s="4" t="s">
        <v>138</v>
      </c>
      <c r="E14" s="4" t="s">
        <v>1719</v>
      </c>
      <c r="F14" s="7" t="s">
        <v>1749</v>
      </c>
      <c r="G14" s="4">
        <v>4</v>
      </c>
      <c r="H14" s="7" t="s">
        <v>1750</v>
      </c>
      <c r="I14" s="7" t="s">
        <v>1751</v>
      </c>
      <c r="J14" s="7" t="s">
        <v>1752</v>
      </c>
      <c r="K14" s="7" t="s">
        <v>1753</v>
      </c>
      <c r="L14" s="7" t="s">
        <v>103</v>
      </c>
      <c r="M14" s="7" t="s">
        <v>1754</v>
      </c>
      <c r="N14" s="7" t="s">
        <v>1755</v>
      </c>
      <c r="O14" s="5"/>
      <c r="P14" s="4">
        <v>0</v>
      </c>
      <c r="Q14" s="5" t="str">
        <f>IF(OR(O14="",P14=0),"",O14+CHOOSE(P14,1,3,7,14,30,90,365))</f>
        <v/>
      </c>
    </row>
    <row r="15" spans="1:17" ht="30" customHeight="1" x14ac:dyDescent="0.3">
      <c r="A15" s="2" t="s">
        <v>73</v>
      </c>
      <c r="B15" s="2" t="s">
        <v>1756</v>
      </c>
      <c r="C15" s="2" t="s">
        <v>1757</v>
      </c>
      <c r="D15" s="2" t="s">
        <v>138</v>
      </c>
      <c r="E15" s="2" t="s">
        <v>1758</v>
      </c>
      <c r="F15" s="6" t="s">
        <v>1759</v>
      </c>
      <c r="G15" s="2">
        <v>4</v>
      </c>
      <c r="H15" s="6" t="s">
        <v>1760</v>
      </c>
      <c r="I15" s="6" t="s">
        <v>1761</v>
      </c>
      <c r="J15" s="6" t="s">
        <v>1762</v>
      </c>
      <c r="K15" s="6" t="s">
        <v>1763</v>
      </c>
      <c r="L15" s="6" t="s">
        <v>103</v>
      </c>
      <c r="M15" s="6" t="s">
        <v>1764</v>
      </c>
      <c r="N15" s="6" t="s">
        <v>1765</v>
      </c>
      <c r="O15" s="3"/>
      <c r="P15" s="2">
        <v>0</v>
      </c>
      <c r="Q15" s="3" t="str">
        <f>IF(OR(O15="",P15=0),"",O15+CHOOSE(P15,1,3,7,14,30,90,365))</f>
        <v/>
      </c>
    </row>
    <row r="16" spans="1:17" ht="30" customHeight="1" x14ac:dyDescent="0.3">
      <c r="A16" s="18" t="s">
        <v>1766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  <row r="17" spans="1:17" ht="30" customHeight="1" x14ac:dyDescent="0.3">
      <c r="A17" s="4" t="s">
        <v>73</v>
      </c>
      <c r="B17" s="4" t="s">
        <v>1767</v>
      </c>
      <c r="C17" s="4" t="s">
        <v>1768</v>
      </c>
      <c r="D17" s="4" t="s">
        <v>76</v>
      </c>
      <c r="E17" s="4" t="s">
        <v>1769</v>
      </c>
      <c r="F17" s="7" t="s">
        <v>1770</v>
      </c>
      <c r="G17" s="4">
        <v>3</v>
      </c>
      <c r="H17" s="7" t="s">
        <v>1771</v>
      </c>
      <c r="I17" s="7" t="s">
        <v>1772</v>
      </c>
      <c r="J17" s="7" t="s">
        <v>1773</v>
      </c>
      <c r="K17" s="7" t="s">
        <v>1774</v>
      </c>
      <c r="L17" s="7" t="s">
        <v>103</v>
      </c>
      <c r="M17" s="7" t="s">
        <v>1775</v>
      </c>
      <c r="N17" s="7" t="s">
        <v>1776</v>
      </c>
      <c r="O17" s="5"/>
      <c r="P17" s="4">
        <v>0</v>
      </c>
      <c r="Q17" s="5" t="str">
        <f t="shared" ref="Q17:Q24" si="0">IF(OR(O17="",P17=0),"",O17+CHOOSE(P17,1,3,7,14,30,90,365))</f>
        <v/>
      </c>
    </row>
    <row r="18" spans="1:17" ht="30" customHeight="1" x14ac:dyDescent="0.3">
      <c r="A18" s="2" t="s">
        <v>73</v>
      </c>
      <c r="B18" s="2" t="s">
        <v>1777</v>
      </c>
      <c r="C18" s="2" t="s">
        <v>1778</v>
      </c>
      <c r="D18" s="2" t="s">
        <v>138</v>
      </c>
      <c r="E18" s="2" t="s">
        <v>1779</v>
      </c>
      <c r="F18" s="6" t="s">
        <v>1780</v>
      </c>
      <c r="G18" s="2">
        <v>3</v>
      </c>
      <c r="H18" s="6" t="s">
        <v>1781</v>
      </c>
      <c r="I18" s="6" t="s">
        <v>1782</v>
      </c>
      <c r="J18" s="6" t="s">
        <v>1783</v>
      </c>
      <c r="K18" s="6" t="s">
        <v>1784</v>
      </c>
      <c r="L18" s="6" t="s">
        <v>103</v>
      </c>
      <c r="M18" s="6" t="s">
        <v>1785</v>
      </c>
      <c r="N18" s="6" t="s">
        <v>1786</v>
      </c>
      <c r="O18" s="3"/>
      <c r="P18" s="2">
        <v>0</v>
      </c>
      <c r="Q18" s="3" t="str">
        <f t="shared" si="0"/>
        <v/>
      </c>
    </row>
    <row r="19" spans="1:17" ht="30" customHeight="1" x14ac:dyDescent="0.3">
      <c r="A19" s="4" t="s">
        <v>73</v>
      </c>
      <c r="B19" s="4" t="s">
        <v>1787</v>
      </c>
      <c r="C19" s="4" t="s">
        <v>1788</v>
      </c>
      <c r="D19" s="4" t="s">
        <v>76</v>
      </c>
      <c r="E19" s="4" t="s">
        <v>1767</v>
      </c>
      <c r="F19" s="7" t="s">
        <v>1789</v>
      </c>
      <c r="G19" s="4">
        <v>3</v>
      </c>
      <c r="H19" s="7" t="s">
        <v>1790</v>
      </c>
      <c r="I19" s="7" t="s">
        <v>1791</v>
      </c>
      <c r="J19" s="7" t="s">
        <v>1792</v>
      </c>
      <c r="K19" s="7" t="s">
        <v>1793</v>
      </c>
      <c r="L19" s="7" t="s">
        <v>103</v>
      </c>
      <c r="M19" s="7" t="s">
        <v>1794</v>
      </c>
      <c r="N19" s="7" t="s">
        <v>1795</v>
      </c>
      <c r="O19" s="5"/>
      <c r="P19" s="4">
        <v>0</v>
      </c>
      <c r="Q19" s="5" t="str">
        <f t="shared" si="0"/>
        <v/>
      </c>
    </row>
    <row r="20" spans="1:17" ht="30" customHeight="1" x14ac:dyDescent="0.3">
      <c r="A20" s="2" t="s">
        <v>73</v>
      </c>
      <c r="B20" s="2" t="s">
        <v>1796</v>
      </c>
      <c r="C20" s="2" t="s">
        <v>1797</v>
      </c>
      <c r="D20" s="2" t="s">
        <v>76</v>
      </c>
      <c r="E20" s="2" t="s">
        <v>1798</v>
      </c>
      <c r="F20" s="6" t="s">
        <v>1799</v>
      </c>
      <c r="G20" s="2">
        <v>3</v>
      </c>
      <c r="H20" s="6" t="s">
        <v>1800</v>
      </c>
      <c r="I20" s="6" t="s">
        <v>1801</v>
      </c>
      <c r="J20" s="6" t="s">
        <v>1802</v>
      </c>
      <c r="K20" s="6" t="s">
        <v>1803</v>
      </c>
      <c r="L20" s="6" t="s">
        <v>1804</v>
      </c>
      <c r="M20" s="6" t="s">
        <v>1805</v>
      </c>
      <c r="N20" s="6" t="s">
        <v>1806</v>
      </c>
      <c r="O20" s="3"/>
      <c r="P20" s="2">
        <v>0</v>
      </c>
      <c r="Q20" s="3" t="str">
        <f t="shared" si="0"/>
        <v/>
      </c>
    </row>
    <row r="21" spans="1:17" ht="30" customHeight="1" x14ac:dyDescent="0.3">
      <c r="A21" s="4" t="s">
        <v>73</v>
      </c>
      <c r="B21" s="4" t="s">
        <v>1807</v>
      </c>
      <c r="C21" s="4" t="s">
        <v>1808</v>
      </c>
      <c r="D21" s="4" t="s">
        <v>138</v>
      </c>
      <c r="E21" s="4" t="s">
        <v>1809</v>
      </c>
      <c r="F21" s="7" t="s">
        <v>1810</v>
      </c>
      <c r="G21" s="4">
        <v>5</v>
      </c>
      <c r="H21" s="7" t="s">
        <v>1811</v>
      </c>
      <c r="I21" s="7" t="s">
        <v>1812</v>
      </c>
      <c r="J21" s="7" t="s">
        <v>1813</v>
      </c>
      <c r="K21" s="7" t="s">
        <v>1814</v>
      </c>
      <c r="L21" s="7" t="s">
        <v>103</v>
      </c>
      <c r="M21" s="7" t="s">
        <v>1815</v>
      </c>
      <c r="N21" s="7" t="s">
        <v>1816</v>
      </c>
      <c r="O21" s="5"/>
      <c r="P21" s="4">
        <v>0</v>
      </c>
      <c r="Q21" s="5" t="str">
        <f t="shared" si="0"/>
        <v/>
      </c>
    </row>
    <row r="22" spans="1:17" ht="30" customHeight="1" x14ac:dyDescent="0.3">
      <c r="A22" s="2" t="s">
        <v>73</v>
      </c>
      <c r="B22" s="2" t="s">
        <v>1817</v>
      </c>
      <c r="C22" s="2" t="s">
        <v>1818</v>
      </c>
      <c r="D22" s="2" t="s">
        <v>138</v>
      </c>
      <c r="E22" s="2" t="s">
        <v>1819</v>
      </c>
      <c r="F22" s="6" t="s">
        <v>1820</v>
      </c>
      <c r="G22" s="2">
        <v>4</v>
      </c>
      <c r="H22" s="6" t="s">
        <v>1821</v>
      </c>
      <c r="I22" s="6" t="s">
        <v>1822</v>
      </c>
      <c r="J22" s="6" t="s">
        <v>1823</v>
      </c>
      <c r="K22" s="6" t="s">
        <v>1824</v>
      </c>
      <c r="L22" s="6" t="s">
        <v>1825</v>
      </c>
      <c r="M22" s="6" t="s">
        <v>1826</v>
      </c>
      <c r="N22" s="6" t="s">
        <v>1827</v>
      </c>
      <c r="O22" s="3"/>
      <c r="P22" s="2">
        <v>0</v>
      </c>
      <c r="Q22" s="3" t="str">
        <f t="shared" si="0"/>
        <v/>
      </c>
    </row>
    <row r="23" spans="1:17" ht="30" customHeight="1" x14ac:dyDescent="0.3">
      <c r="A23" s="4" t="s">
        <v>73</v>
      </c>
      <c r="B23" s="4" t="s">
        <v>1828</v>
      </c>
      <c r="C23" s="4" t="s">
        <v>1829</v>
      </c>
      <c r="D23" s="4" t="s">
        <v>138</v>
      </c>
      <c r="E23" s="4" t="s">
        <v>1830</v>
      </c>
      <c r="F23" s="7" t="s">
        <v>1831</v>
      </c>
      <c r="G23" s="4">
        <v>4</v>
      </c>
      <c r="H23" s="7" t="s">
        <v>1832</v>
      </c>
      <c r="I23" s="7" t="s">
        <v>1833</v>
      </c>
      <c r="J23" s="7" t="s">
        <v>1834</v>
      </c>
      <c r="K23" s="7" t="s">
        <v>1835</v>
      </c>
      <c r="L23" s="7" t="s">
        <v>103</v>
      </c>
      <c r="M23" s="7" t="s">
        <v>1836</v>
      </c>
      <c r="N23" s="7" t="s">
        <v>1837</v>
      </c>
      <c r="O23" s="5"/>
      <c r="P23" s="4">
        <v>0</v>
      </c>
      <c r="Q23" s="5" t="str">
        <f t="shared" si="0"/>
        <v/>
      </c>
    </row>
    <row r="24" spans="1:17" ht="30" customHeight="1" x14ac:dyDescent="0.3">
      <c r="A24" s="2" t="s">
        <v>73</v>
      </c>
      <c r="B24" s="2" t="s">
        <v>1838</v>
      </c>
      <c r="C24" s="2" t="s">
        <v>1839</v>
      </c>
      <c r="D24" s="2" t="s">
        <v>76</v>
      </c>
      <c r="E24" s="2" t="s">
        <v>1840</v>
      </c>
      <c r="F24" s="6" t="s">
        <v>1841</v>
      </c>
      <c r="G24" s="2">
        <v>3</v>
      </c>
      <c r="H24" s="6" t="s">
        <v>1842</v>
      </c>
      <c r="I24" s="6" t="s">
        <v>1843</v>
      </c>
      <c r="J24" s="6" t="s">
        <v>1844</v>
      </c>
      <c r="K24" s="6" t="s">
        <v>1845</v>
      </c>
      <c r="L24" s="6" t="s">
        <v>103</v>
      </c>
      <c r="M24" s="6" t="s">
        <v>1846</v>
      </c>
      <c r="N24" s="6" t="s">
        <v>1847</v>
      </c>
      <c r="O24" s="3"/>
      <c r="P24" s="2">
        <v>0</v>
      </c>
      <c r="Q24" s="3" t="str">
        <f t="shared" si="0"/>
        <v/>
      </c>
    </row>
    <row r="25" spans="1:17" ht="30" customHeight="1" x14ac:dyDescent="0.3">
      <c r="A25" s="18" t="s">
        <v>1848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</row>
    <row r="26" spans="1:17" ht="30" customHeight="1" x14ac:dyDescent="0.3">
      <c r="A26" s="4" t="s">
        <v>73</v>
      </c>
      <c r="B26" s="4" t="s">
        <v>1849</v>
      </c>
      <c r="C26" s="4" t="s">
        <v>1850</v>
      </c>
      <c r="D26" s="4" t="s">
        <v>76</v>
      </c>
      <c r="E26" s="4" t="s">
        <v>1851</v>
      </c>
      <c r="F26" s="7" t="s">
        <v>1852</v>
      </c>
      <c r="G26" s="4">
        <v>2</v>
      </c>
      <c r="H26" s="7" t="s">
        <v>1853</v>
      </c>
      <c r="I26" s="7" t="s">
        <v>1854</v>
      </c>
      <c r="J26" s="7" t="s">
        <v>1855</v>
      </c>
      <c r="K26" s="7" t="s">
        <v>1856</v>
      </c>
      <c r="L26" s="7" t="s">
        <v>103</v>
      </c>
      <c r="M26" s="7" t="s">
        <v>1857</v>
      </c>
      <c r="N26" s="7" t="s">
        <v>1858</v>
      </c>
      <c r="O26" s="5"/>
      <c r="P26" s="4">
        <v>0</v>
      </c>
      <c r="Q26" s="5" t="str">
        <f t="shared" ref="Q26:Q37" si="1">IF(OR(O26="",P26=0),"",O26+CHOOSE(P26,1,3,7,14,30,90,365))</f>
        <v/>
      </c>
    </row>
    <row r="27" spans="1:17" ht="30" customHeight="1" x14ac:dyDescent="0.3">
      <c r="A27" s="2" t="s">
        <v>73</v>
      </c>
      <c r="B27" s="2" t="s">
        <v>1859</v>
      </c>
      <c r="C27" s="2" t="s">
        <v>1860</v>
      </c>
      <c r="D27" s="2" t="s">
        <v>76</v>
      </c>
      <c r="E27" s="2" t="s">
        <v>1306</v>
      </c>
      <c r="F27" s="6" t="s">
        <v>1861</v>
      </c>
      <c r="G27" s="2">
        <v>4</v>
      </c>
      <c r="H27" s="6" t="s">
        <v>1862</v>
      </c>
      <c r="I27" s="6" t="s">
        <v>1863</v>
      </c>
      <c r="J27" s="6" t="s">
        <v>1864</v>
      </c>
      <c r="K27" s="6" t="s">
        <v>1865</v>
      </c>
      <c r="L27" s="6" t="s">
        <v>1866</v>
      </c>
      <c r="M27" s="6" t="s">
        <v>1867</v>
      </c>
      <c r="N27" s="6" t="s">
        <v>1868</v>
      </c>
      <c r="O27" s="3"/>
      <c r="P27" s="2">
        <v>0</v>
      </c>
      <c r="Q27" s="3" t="str">
        <f t="shared" si="1"/>
        <v/>
      </c>
    </row>
    <row r="28" spans="1:17" ht="30" customHeight="1" x14ac:dyDescent="0.3">
      <c r="A28" s="4" t="s">
        <v>73</v>
      </c>
      <c r="B28" s="4" t="s">
        <v>1869</v>
      </c>
      <c r="C28" s="4" t="s">
        <v>1870</v>
      </c>
      <c r="D28" s="4" t="s">
        <v>76</v>
      </c>
      <c r="E28" s="4" t="s">
        <v>1871</v>
      </c>
      <c r="F28" s="7" t="s">
        <v>1872</v>
      </c>
      <c r="G28" s="4">
        <v>3</v>
      </c>
      <c r="H28" s="7" t="s">
        <v>1873</v>
      </c>
      <c r="I28" s="7" t="s">
        <v>1874</v>
      </c>
      <c r="J28" s="7" t="s">
        <v>1875</v>
      </c>
      <c r="K28" s="7" t="s">
        <v>1876</v>
      </c>
      <c r="L28" s="7" t="s">
        <v>1877</v>
      </c>
      <c r="M28" s="7" t="s">
        <v>1878</v>
      </c>
      <c r="N28" s="7" t="s">
        <v>1879</v>
      </c>
      <c r="O28" s="5"/>
      <c r="P28" s="4">
        <v>0</v>
      </c>
      <c r="Q28" s="5" t="str">
        <f t="shared" si="1"/>
        <v/>
      </c>
    </row>
    <row r="29" spans="1:17" ht="30" customHeight="1" x14ac:dyDescent="0.3">
      <c r="A29" s="2" t="s">
        <v>73</v>
      </c>
      <c r="B29" s="2" t="s">
        <v>1880</v>
      </c>
      <c r="C29" s="2" t="s">
        <v>1881</v>
      </c>
      <c r="D29" s="2" t="s">
        <v>76</v>
      </c>
      <c r="E29" s="2" t="s">
        <v>1869</v>
      </c>
      <c r="F29" s="6" t="s">
        <v>1882</v>
      </c>
      <c r="G29" s="2">
        <v>2</v>
      </c>
      <c r="H29" s="6" t="s">
        <v>1883</v>
      </c>
      <c r="I29" s="6" t="s">
        <v>1884</v>
      </c>
      <c r="J29" s="6" t="s">
        <v>1885</v>
      </c>
      <c r="K29" s="6" t="s">
        <v>1886</v>
      </c>
      <c r="L29" s="6" t="s">
        <v>103</v>
      </c>
      <c r="M29" s="6" t="s">
        <v>1887</v>
      </c>
      <c r="N29" s="6" t="s">
        <v>1888</v>
      </c>
      <c r="O29" s="3"/>
      <c r="P29" s="2">
        <v>0</v>
      </c>
      <c r="Q29" s="3" t="str">
        <f t="shared" si="1"/>
        <v/>
      </c>
    </row>
    <row r="30" spans="1:17" ht="30" customHeight="1" x14ac:dyDescent="0.3">
      <c r="A30" s="4" t="s">
        <v>73</v>
      </c>
      <c r="B30" s="4" t="s">
        <v>1889</v>
      </c>
      <c r="C30" s="4" t="s">
        <v>1890</v>
      </c>
      <c r="D30" s="4" t="s">
        <v>76</v>
      </c>
      <c r="E30" s="4" t="s">
        <v>1891</v>
      </c>
      <c r="F30" s="7" t="s">
        <v>1892</v>
      </c>
      <c r="G30" s="4">
        <v>3</v>
      </c>
      <c r="H30" s="7" t="s">
        <v>1893</v>
      </c>
      <c r="I30" s="7" t="s">
        <v>1894</v>
      </c>
      <c r="J30" s="7" t="s">
        <v>1895</v>
      </c>
      <c r="K30" s="7" t="s">
        <v>1896</v>
      </c>
      <c r="L30" s="7" t="s">
        <v>103</v>
      </c>
      <c r="M30" s="7" t="s">
        <v>1897</v>
      </c>
      <c r="N30" s="7" t="s">
        <v>1898</v>
      </c>
      <c r="O30" s="5"/>
      <c r="P30" s="4">
        <v>0</v>
      </c>
      <c r="Q30" s="5" t="str">
        <f t="shared" si="1"/>
        <v/>
      </c>
    </row>
    <row r="31" spans="1:17" ht="30" customHeight="1" x14ac:dyDescent="0.3">
      <c r="A31" s="2" t="s">
        <v>73</v>
      </c>
      <c r="B31" s="2" t="s">
        <v>1899</v>
      </c>
      <c r="C31" s="2" t="s">
        <v>1900</v>
      </c>
      <c r="D31" s="2" t="s">
        <v>76</v>
      </c>
      <c r="E31" s="2" t="s">
        <v>1901</v>
      </c>
      <c r="F31" s="6" t="s">
        <v>1902</v>
      </c>
      <c r="G31" s="2">
        <v>3</v>
      </c>
      <c r="H31" s="6" t="s">
        <v>1903</v>
      </c>
      <c r="I31" s="6" t="s">
        <v>1904</v>
      </c>
      <c r="J31" s="6" t="s">
        <v>1905</v>
      </c>
      <c r="K31" s="6" t="s">
        <v>1906</v>
      </c>
      <c r="L31" s="6" t="s">
        <v>1907</v>
      </c>
      <c r="M31" s="6" t="s">
        <v>1908</v>
      </c>
      <c r="N31" s="6" t="s">
        <v>1909</v>
      </c>
      <c r="O31" s="3"/>
      <c r="P31" s="2">
        <v>0</v>
      </c>
      <c r="Q31" s="3" t="str">
        <f t="shared" si="1"/>
        <v/>
      </c>
    </row>
    <row r="32" spans="1:17" ht="30" customHeight="1" x14ac:dyDescent="0.3">
      <c r="A32" s="4" t="s">
        <v>73</v>
      </c>
      <c r="B32" s="4" t="s">
        <v>1910</v>
      </c>
      <c r="C32" s="4" t="s">
        <v>1911</v>
      </c>
      <c r="D32" s="4" t="s">
        <v>76</v>
      </c>
      <c r="E32" s="4" t="s">
        <v>1912</v>
      </c>
      <c r="F32" s="7" t="s">
        <v>1913</v>
      </c>
      <c r="G32" s="4">
        <v>3</v>
      </c>
      <c r="H32" s="7" t="s">
        <v>1914</v>
      </c>
      <c r="I32" s="7" t="s">
        <v>1915</v>
      </c>
      <c r="J32" s="7" t="s">
        <v>1916</v>
      </c>
      <c r="K32" s="7" t="s">
        <v>1917</v>
      </c>
      <c r="L32" s="7" t="s">
        <v>1918</v>
      </c>
      <c r="M32" s="7" t="s">
        <v>1919</v>
      </c>
      <c r="N32" s="7" t="s">
        <v>1920</v>
      </c>
      <c r="O32" s="5"/>
      <c r="P32" s="4">
        <v>0</v>
      </c>
      <c r="Q32" s="5" t="str">
        <f t="shared" si="1"/>
        <v/>
      </c>
    </row>
    <row r="33" spans="1:17" ht="30" customHeight="1" x14ac:dyDescent="0.3">
      <c r="A33" s="2" t="s">
        <v>73</v>
      </c>
      <c r="B33" s="2" t="s">
        <v>1921</v>
      </c>
      <c r="C33" s="2" t="s">
        <v>1922</v>
      </c>
      <c r="D33" s="2" t="s">
        <v>76</v>
      </c>
      <c r="E33" s="2" t="s">
        <v>1923</v>
      </c>
      <c r="F33" s="6" t="s">
        <v>1924</v>
      </c>
      <c r="G33" s="2">
        <v>2</v>
      </c>
      <c r="H33" s="6" t="s">
        <v>1925</v>
      </c>
      <c r="I33" s="6" t="s">
        <v>1926</v>
      </c>
      <c r="J33" s="6" t="s">
        <v>1927</v>
      </c>
      <c r="K33" s="6" t="s">
        <v>1928</v>
      </c>
      <c r="L33" s="6" t="s">
        <v>103</v>
      </c>
      <c r="M33" s="6" t="s">
        <v>1929</v>
      </c>
      <c r="N33" s="6" t="s">
        <v>1930</v>
      </c>
      <c r="O33" s="3"/>
      <c r="P33" s="2">
        <v>0</v>
      </c>
      <c r="Q33" s="3" t="str">
        <f t="shared" si="1"/>
        <v/>
      </c>
    </row>
    <row r="34" spans="1:17" ht="30" customHeight="1" x14ac:dyDescent="0.3">
      <c r="A34" s="4" t="s">
        <v>73</v>
      </c>
      <c r="B34" s="4" t="s">
        <v>1931</v>
      </c>
      <c r="C34" s="4" t="s">
        <v>1932</v>
      </c>
      <c r="D34" s="4" t="s">
        <v>76</v>
      </c>
      <c r="E34" s="4" t="s">
        <v>1933</v>
      </c>
      <c r="F34" s="7" t="s">
        <v>1934</v>
      </c>
      <c r="G34" s="4">
        <v>3</v>
      </c>
      <c r="H34" s="7" t="s">
        <v>1935</v>
      </c>
      <c r="I34" s="7" t="s">
        <v>1936</v>
      </c>
      <c r="J34" s="7" t="s">
        <v>1937</v>
      </c>
      <c r="K34" s="7" t="s">
        <v>1938</v>
      </c>
      <c r="L34" s="7" t="s">
        <v>103</v>
      </c>
      <c r="M34" s="7" t="s">
        <v>1939</v>
      </c>
      <c r="N34" s="7" t="s">
        <v>1940</v>
      </c>
      <c r="O34" s="5"/>
      <c r="P34" s="4">
        <v>0</v>
      </c>
      <c r="Q34" s="5" t="str">
        <f t="shared" si="1"/>
        <v/>
      </c>
    </row>
    <row r="35" spans="1:17" ht="30" customHeight="1" x14ac:dyDescent="0.3">
      <c r="A35" s="2" t="s">
        <v>73</v>
      </c>
      <c r="B35" s="2" t="s">
        <v>1941</v>
      </c>
      <c r="C35" s="2" t="s">
        <v>1942</v>
      </c>
      <c r="D35" s="2" t="s">
        <v>138</v>
      </c>
      <c r="E35" s="2" t="s">
        <v>1943</v>
      </c>
      <c r="F35" s="6" t="s">
        <v>1944</v>
      </c>
      <c r="G35" s="2">
        <v>3</v>
      </c>
      <c r="H35" s="6" t="s">
        <v>1945</v>
      </c>
      <c r="I35" s="6" t="s">
        <v>1946</v>
      </c>
      <c r="J35" s="6" t="s">
        <v>1743</v>
      </c>
      <c r="K35" s="6" t="s">
        <v>1947</v>
      </c>
      <c r="L35" s="6" t="s">
        <v>103</v>
      </c>
      <c r="M35" s="6" t="s">
        <v>1948</v>
      </c>
      <c r="N35" s="6" t="s">
        <v>1949</v>
      </c>
      <c r="O35" s="3"/>
      <c r="P35" s="2">
        <v>0</v>
      </c>
      <c r="Q35" s="3" t="str">
        <f t="shared" si="1"/>
        <v/>
      </c>
    </row>
    <row r="36" spans="1:17" ht="30" customHeight="1" x14ac:dyDescent="0.3">
      <c r="A36" s="4" t="s">
        <v>73</v>
      </c>
      <c r="B36" s="4" t="s">
        <v>1950</v>
      </c>
      <c r="C36" s="4" t="s">
        <v>1951</v>
      </c>
      <c r="D36" s="4" t="s">
        <v>76</v>
      </c>
      <c r="E36" s="4" t="s">
        <v>1943</v>
      </c>
      <c r="F36" s="7" t="s">
        <v>1952</v>
      </c>
      <c r="G36" s="4">
        <v>3</v>
      </c>
      <c r="H36" s="7" t="s">
        <v>1953</v>
      </c>
      <c r="I36" s="7" t="s">
        <v>1954</v>
      </c>
      <c r="J36" s="7" t="s">
        <v>1743</v>
      </c>
      <c r="K36" s="7" t="s">
        <v>1955</v>
      </c>
      <c r="L36" s="7" t="s">
        <v>1956</v>
      </c>
      <c r="M36" s="7" t="s">
        <v>1957</v>
      </c>
      <c r="N36" s="7" t="s">
        <v>1958</v>
      </c>
      <c r="O36" s="5"/>
      <c r="P36" s="4">
        <v>0</v>
      </c>
      <c r="Q36" s="5" t="str">
        <f t="shared" si="1"/>
        <v/>
      </c>
    </row>
    <row r="37" spans="1:17" ht="30" customHeight="1" x14ac:dyDescent="0.3">
      <c r="A37" s="2" t="s">
        <v>73</v>
      </c>
      <c r="B37" s="2" t="s">
        <v>1959</v>
      </c>
      <c r="C37" s="2" t="s">
        <v>1960</v>
      </c>
      <c r="D37" s="2" t="s">
        <v>138</v>
      </c>
      <c r="E37" s="2" t="s">
        <v>1961</v>
      </c>
      <c r="F37" s="6" t="s">
        <v>1962</v>
      </c>
      <c r="G37" s="2">
        <v>4</v>
      </c>
      <c r="H37" s="6" t="s">
        <v>1963</v>
      </c>
      <c r="I37" s="6" t="s">
        <v>1964</v>
      </c>
      <c r="J37" s="6" t="s">
        <v>1965</v>
      </c>
      <c r="K37" s="6" t="s">
        <v>1966</v>
      </c>
      <c r="L37" s="6" t="s">
        <v>103</v>
      </c>
      <c r="M37" s="6" t="s">
        <v>1967</v>
      </c>
      <c r="N37" s="6" t="s">
        <v>1968</v>
      </c>
      <c r="O37" s="3"/>
      <c r="P37" s="2">
        <v>0</v>
      </c>
      <c r="Q37" s="3" t="str">
        <f t="shared" si="1"/>
        <v/>
      </c>
    </row>
  </sheetData>
  <autoFilter ref="A4:Q4" xr:uid="{00000000-0009-0000-0000-00000C000000}"/>
  <mergeCells count="7">
    <mergeCell ref="A16:Q16"/>
    <mergeCell ref="A25:Q25"/>
    <mergeCell ref="A1:Q1"/>
    <mergeCell ref="A2:Q2"/>
    <mergeCell ref="A3:P3"/>
    <mergeCell ref="A5:Q5"/>
    <mergeCell ref="A10:Q10"/>
  </mergeCells>
  <conditionalFormatting sqref="A6:A9">
    <cfRule type="expression" dxfId="221" priority="3">
      <formula>$A6="Completed"</formula>
    </cfRule>
    <cfRule type="expression" dxfId="220" priority="4">
      <formula>$A6="In Progress"</formula>
    </cfRule>
    <cfRule type="expression" dxfId="219" priority="5">
      <formula>$A6="Not Started"</formula>
    </cfRule>
    <cfRule type="expression" dxfId="218" priority="6">
      <formula>$A6="Research"</formula>
    </cfRule>
    <cfRule type="expression" dxfId="217" priority="7">
      <formula>$A6="Project"</formula>
    </cfRule>
    <cfRule type="expression" dxfId="216" priority="8">
      <formula>$A6="Optional"</formula>
    </cfRule>
  </conditionalFormatting>
  <conditionalFormatting sqref="A11:A15">
    <cfRule type="expression" dxfId="215" priority="11">
      <formula>$A11="Completed"</formula>
    </cfRule>
    <cfRule type="expression" dxfId="214" priority="12">
      <formula>$A11="In Progress"</formula>
    </cfRule>
    <cfRule type="expression" dxfId="213" priority="13">
      <formula>$A11="Not Started"</formula>
    </cfRule>
    <cfRule type="expression" dxfId="212" priority="14">
      <formula>$A11="Research"</formula>
    </cfRule>
    <cfRule type="expression" dxfId="211" priority="15">
      <formula>$A11="Project"</formula>
    </cfRule>
    <cfRule type="expression" dxfId="210" priority="16">
      <formula>$A11="Optional"</formula>
    </cfRule>
  </conditionalFormatting>
  <conditionalFormatting sqref="A17:A24">
    <cfRule type="expression" dxfId="209" priority="19">
      <formula>$A17="Completed"</formula>
    </cfRule>
    <cfRule type="expression" dxfId="208" priority="20">
      <formula>$A17="In Progress"</formula>
    </cfRule>
    <cfRule type="expression" dxfId="207" priority="21">
      <formula>$A17="Not Started"</formula>
    </cfRule>
    <cfRule type="expression" dxfId="206" priority="22">
      <formula>$A17="Research"</formula>
    </cfRule>
    <cfRule type="expression" dxfId="205" priority="23">
      <formula>$A17="Project"</formula>
    </cfRule>
    <cfRule type="expression" dxfId="204" priority="24">
      <formula>$A17="Optional"</formula>
    </cfRule>
  </conditionalFormatting>
  <conditionalFormatting sqref="A26:A37">
    <cfRule type="expression" dxfId="203" priority="27">
      <formula>$A26="Completed"</formula>
    </cfRule>
    <cfRule type="expression" dxfId="202" priority="28">
      <formula>$A26="In Progress"</formula>
    </cfRule>
    <cfRule type="expression" dxfId="201" priority="29">
      <formula>$A26="Not Started"</formula>
    </cfRule>
    <cfRule type="expression" dxfId="200" priority="30">
      <formula>$A26="Research"</formula>
    </cfRule>
    <cfRule type="expression" dxfId="199" priority="31">
      <formula>$A26="Project"</formula>
    </cfRule>
    <cfRule type="expression" dxfId="198" priority="32">
      <formula>$A26="Optional"</formula>
    </cfRule>
  </conditionalFormatting>
  <conditionalFormatting sqref="Q3">
    <cfRule type="dataBar" priority="2">
      <dataBar>
        <cfvo type="num" val="0"/>
        <cfvo type="num" val="100"/>
        <color rgb="FF8FC1E9"/>
      </dataBar>
      <extLst>
        <ext xmlns:x14="http://schemas.microsoft.com/office/spreadsheetml/2009/9/main" uri="{B025F937-C7B1-47D3-B67F-A62EFF666E3E}">
          <x14:id>{C230BC55-72EB-4CE5-B4B5-A01F8B11B7C5}</x14:id>
        </ext>
      </extLst>
    </cfRule>
  </conditionalFormatting>
  <conditionalFormatting sqref="Q6:Q9">
    <cfRule type="expression" dxfId="197" priority="9">
      <formula>AND($Q6&lt;&gt;"",$Q6&lt;TODAY())</formula>
    </cfRule>
    <cfRule type="expression" dxfId="196" priority="10">
      <formula>AND($Q6&lt;&gt;"",$Q6&gt;=TODAY(),$Q6&lt;=TODAY()+3)</formula>
    </cfRule>
  </conditionalFormatting>
  <conditionalFormatting sqref="Q11:Q15">
    <cfRule type="expression" dxfId="195" priority="17">
      <formula>AND($Q11&lt;&gt;"",$Q11&lt;TODAY())</formula>
    </cfRule>
    <cfRule type="expression" dxfId="194" priority="18">
      <formula>AND($Q11&lt;&gt;"",$Q11&gt;=TODAY(),$Q11&lt;=TODAY()+3)</formula>
    </cfRule>
  </conditionalFormatting>
  <conditionalFormatting sqref="Q17:Q24">
    <cfRule type="expression" dxfId="193" priority="25">
      <formula>AND($Q17&lt;&gt;"",$Q17&lt;TODAY())</formula>
    </cfRule>
    <cfRule type="expression" dxfId="192" priority="26">
      <formula>AND($Q17&lt;&gt;"",$Q17&gt;=TODAY(),$Q17&lt;=TODAY()+3)</formula>
    </cfRule>
  </conditionalFormatting>
  <conditionalFormatting sqref="Q26:Q37">
    <cfRule type="expression" dxfId="191" priority="33">
      <formula>AND($Q26&lt;&gt;"",$Q26&lt;TODAY())</formula>
    </cfRule>
    <cfRule type="expression" dxfId="190" priority="34">
      <formula>AND($Q26&lt;&gt;"",$Q26&gt;=TODAY(),$Q26&lt;=TODAY()+3)</formula>
    </cfRule>
  </conditionalFormatting>
  <dataValidations count="3">
    <dataValidation type="list" allowBlank="1" sqref="P6:P9 P11:P15 P17:P24 P26:P37" xr:uid="{00000000-0002-0000-0C00-000000000000}">
      <formula1>"0,1,2,3,4,5,6,7"</formula1>
      <formula2>0</formula2>
    </dataValidation>
    <dataValidation type="list" allowBlank="1" sqref="A6:A9 A26:A37 A17:A24 A11:A15" xr:uid="{00000000-0002-0000-0C00-000001000000}">
      <formula1>"Completed,In Progress,Not Started,Research,Project,Optional"</formula1>
      <formula2>0</formula2>
    </dataValidation>
    <dataValidation type="list" allowBlank="1" sqref="D6:D9 D26:D37 D17:D24 D11:D15" xr:uid="{00000000-0002-0000-0C00-000002000000}">
      <formula1>"Intermediate,Advanced,Expert,Research-Level"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230BC55-72EB-4CE5-B4B5-A01F8B11B7C5}">
            <x14:dataBar axisPosition="none">
              <x14:cfvo type="num">
                <xm:f>0</xm:f>
              </x14:cfvo>
              <x14:cfvo type="num">
                <xm:f>100</xm:f>
              </x14:cfvo>
              <x14:negativeFillColor rgb="FF8FC1E9"/>
            </x14:dataBar>
          </x14:cfRule>
          <xm:sqref>Q3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22"/>
  <sheetViews>
    <sheetView showGridLines="0" topLeftCell="B1" zoomScaleNormal="100" workbookViewId="0">
      <pane ySplit="4" topLeftCell="A12" activePane="bottomLeft" state="frozen"/>
      <selection pane="bottomLeft" sqref="A1:Q1"/>
    </sheetView>
  </sheetViews>
  <sheetFormatPr defaultColWidth="8.6640625" defaultRowHeight="14.4" x14ac:dyDescent="0.3"/>
  <cols>
    <col min="1" max="1" width="12" customWidth="1"/>
    <col min="2" max="2" width="22" customWidth="1"/>
    <col min="3" max="3" width="30" customWidth="1"/>
    <col min="4" max="4" width="12" customWidth="1"/>
    <col min="5" max="5" width="22" customWidth="1"/>
    <col min="6" max="6" width="34" customWidth="1"/>
    <col min="7" max="7" width="9" customWidth="1"/>
    <col min="8" max="8" width="26" customWidth="1"/>
    <col min="9" max="9" width="30" customWidth="1"/>
    <col min="10" max="10" width="24" customWidth="1"/>
    <col min="11" max="12" width="30" customWidth="1"/>
    <col min="13" max="13" width="40" customWidth="1"/>
    <col min="14" max="14" width="30" customWidth="1"/>
    <col min="15" max="15" width="13" customWidth="1"/>
    <col min="16" max="16" width="11" customWidth="1"/>
    <col min="17" max="17" width="13" customWidth="1"/>
  </cols>
  <sheetData>
    <row r="1" spans="1:17" ht="33.75" customHeight="1" x14ac:dyDescent="0.3">
      <c r="A1" s="19" t="s">
        <v>53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ht="15" customHeight="1" x14ac:dyDescent="0.3">
      <c r="A2" s="20" t="s">
        <v>1969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ht="19.5" customHeight="1" x14ac:dyDescent="0.3">
      <c r="A3" s="21" t="s">
        <v>1970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12">
        <f>ROUND(COUNTIF(A5:A22,"Completed")/SUMPRODUCT(COUNTIF(A5:A22,{"Completed","In Progress","Not Started","Research","Project","Optional"}))*100,0)</f>
        <v>0</v>
      </c>
    </row>
    <row r="4" spans="1:17" ht="31.5" customHeight="1" x14ac:dyDescent="0.3">
      <c r="A4" s="1" t="s">
        <v>58</v>
      </c>
      <c r="B4" s="1" t="s">
        <v>6</v>
      </c>
      <c r="C4" s="1" t="s">
        <v>7</v>
      </c>
      <c r="D4" s="1" t="s">
        <v>59</v>
      </c>
      <c r="E4" s="1" t="s">
        <v>60</v>
      </c>
      <c r="F4" s="1" t="s">
        <v>61</v>
      </c>
      <c r="G4" s="1" t="s">
        <v>62</v>
      </c>
      <c r="H4" s="1" t="s">
        <v>63</v>
      </c>
      <c r="I4" s="1" t="s">
        <v>64</v>
      </c>
      <c r="J4" s="1" t="s">
        <v>65</v>
      </c>
      <c r="K4" s="1" t="s">
        <v>66</v>
      </c>
      <c r="L4" s="1" t="s">
        <v>67</v>
      </c>
      <c r="M4" s="1" t="s">
        <v>68</v>
      </c>
      <c r="N4" s="1" t="s">
        <v>11</v>
      </c>
      <c r="O4" s="1" t="s">
        <v>69</v>
      </c>
      <c r="P4" s="1" t="s">
        <v>70</v>
      </c>
      <c r="Q4" s="1" t="s">
        <v>71</v>
      </c>
    </row>
    <row r="5" spans="1:17" ht="30" customHeight="1" x14ac:dyDescent="0.3">
      <c r="A5" s="18" t="s">
        <v>1971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3">
      <c r="A6" s="2" t="s">
        <v>73</v>
      </c>
      <c r="B6" s="2" t="s">
        <v>1972</v>
      </c>
      <c r="C6" s="2" t="s">
        <v>1973</v>
      </c>
      <c r="D6" s="2" t="s">
        <v>76</v>
      </c>
      <c r="E6" s="2" t="s">
        <v>1974</v>
      </c>
      <c r="F6" s="6" t="s">
        <v>1975</v>
      </c>
      <c r="G6" s="2">
        <v>4</v>
      </c>
      <c r="H6" s="6" t="s">
        <v>1976</v>
      </c>
      <c r="I6" s="6" t="s">
        <v>1977</v>
      </c>
      <c r="J6" s="6" t="s">
        <v>1978</v>
      </c>
      <c r="K6" s="6" t="s">
        <v>1979</v>
      </c>
      <c r="L6" s="6" t="s">
        <v>103</v>
      </c>
      <c r="M6" s="6" t="s">
        <v>1980</v>
      </c>
      <c r="N6" s="6" t="s">
        <v>1981</v>
      </c>
      <c r="O6" s="3"/>
      <c r="P6" s="2">
        <v>0</v>
      </c>
      <c r="Q6" s="3" t="str">
        <f>IF(OR(O6="",P6=0),"",O6+CHOOSE(P6,1,3,7,14,30,90,365))</f>
        <v/>
      </c>
    </row>
    <row r="7" spans="1:17" ht="30" customHeight="1" x14ac:dyDescent="0.3">
      <c r="A7" s="4" t="s">
        <v>73</v>
      </c>
      <c r="B7" s="4" t="s">
        <v>1982</v>
      </c>
      <c r="C7" s="4" t="s">
        <v>1983</v>
      </c>
      <c r="D7" s="4" t="s">
        <v>76</v>
      </c>
      <c r="E7" s="4" t="s">
        <v>1984</v>
      </c>
      <c r="F7" s="7" t="s">
        <v>1985</v>
      </c>
      <c r="G7" s="4">
        <v>4</v>
      </c>
      <c r="H7" s="7" t="s">
        <v>1986</v>
      </c>
      <c r="I7" s="7" t="s">
        <v>1987</v>
      </c>
      <c r="J7" s="7" t="s">
        <v>1988</v>
      </c>
      <c r="K7" s="7" t="s">
        <v>1989</v>
      </c>
      <c r="L7" s="7" t="s">
        <v>1990</v>
      </c>
      <c r="M7" s="7" t="s">
        <v>1991</v>
      </c>
      <c r="N7" s="7" t="s">
        <v>1992</v>
      </c>
      <c r="O7" s="5"/>
      <c r="P7" s="4">
        <v>0</v>
      </c>
      <c r="Q7" s="5" t="str">
        <f>IF(OR(O7="",P7=0),"",O7+CHOOSE(P7,1,3,7,14,30,90,365))</f>
        <v/>
      </c>
    </row>
    <row r="8" spans="1:17" ht="30" customHeight="1" x14ac:dyDescent="0.3">
      <c r="A8" s="2" t="s">
        <v>73</v>
      </c>
      <c r="B8" s="2" t="s">
        <v>1993</v>
      </c>
      <c r="C8" s="2" t="s">
        <v>1994</v>
      </c>
      <c r="D8" s="2" t="s">
        <v>138</v>
      </c>
      <c r="E8" s="2" t="s">
        <v>1982</v>
      </c>
      <c r="F8" s="6" t="s">
        <v>1995</v>
      </c>
      <c r="G8" s="2">
        <v>3</v>
      </c>
      <c r="H8" s="6" t="s">
        <v>1996</v>
      </c>
      <c r="I8" s="6" t="s">
        <v>1997</v>
      </c>
      <c r="J8" s="6" t="s">
        <v>1998</v>
      </c>
      <c r="K8" s="6" t="s">
        <v>1999</v>
      </c>
      <c r="L8" s="6" t="s">
        <v>103</v>
      </c>
      <c r="M8" s="6" t="s">
        <v>2000</v>
      </c>
      <c r="N8" s="6" t="s">
        <v>2001</v>
      </c>
      <c r="O8" s="3"/>
      <c r="P8" s="2">
        <v>0</v>
      </c>
      <c r="Q8" s="3" t="str">
        <f>IF(OR(O8="",P8=0),"",O8+CHOOSE(P8,1,3,7,14,30,90,365))</f>
        <v/>
      </c>
    </row>
    <row r="9" spans="1:17" ht="30" customHeight="1" x14ac:dyDescent="0.3">
      <c r="A9" s="4" t="s">
        <v>73</v>
      </c>
      <c r="B9" s="4" t="s">
        <v>2002</v>
      </c>
      <c r="C9" s="4" t="s">
        <v>2003</v>
      </c>
      <c r="D9" s="4" t="s">
        <v>138</v>
      </c>
      <c r="E9" s="4" t="s">
        <v>2004</v>
      </c>
      <c r="F9" s="7" t="s">
        <v>2005</v>
      </c>
      <c r="G9" s="4">
        <v>4</v>
      </c>
      <c r="H9" s="7" t="s">
        <v>2006</v>
      </c>
      <c r="I9" s="7" t="s">
        <v>2007</v>
      </c>
      <c r="J9" s="7" t="s">
        <v>2008</v>
      </c>
      <c r="K9" s="7" t="s">
        <v>2009</v>
      </c>
      <c r="L9" s="7" t="s">
        <v>103</v>
      </c>
      <c r="M9" s="7" t="s">
        <v>2010</v>
      </c>
      <c r="N9" s="7" t="s">
        <v>2011</v>
      </c>
      <c r="O9" s="5"/>
      <c r="P9" s="4">
        <v>0</v>
      </c>
      <c r="Q9" s="5" t="str">
        <f>IF(OR(O9="",P9=0),"",O9+CHOOSE(P9,1,3,7,14,30,90,365))</f>
        <v/>
      </c>
    </row>
    <row r="10" spans="1:17" ht="30" customHeight="1" x14ac:dyDescent="0.3">
      <c r="A10" s="18" t="s">
        <v>2012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3">
      <c r="A11" s="2" t="s">
        <v>73</v>
      </c>
      <c r="B11" s="2" t="s">
        <v>2013</v>
      </c>
      <c r="C11" s="2" t="s">
        <v>2014</v>
      </c>
      <c r="D11" s="2" t="s">
        <v>138</v>
      </c>
      <c r="E11" s="2" t="s">
        <v>1982</v>
      </c>
      <c r="F11" s="6" t="s">
        <v>2015</v>
      </c>
      <c r="G11" s="2">
        <v>4</v>
      </c>
      <c r="H11" s="6" t="s">
        <v>2016</v>
      </c>
      <c r="I11" s="6" t="s">
        <v>2017</v>
      </c>
      <c r="J11" s="6" t="s">
        <v>2018</v>
      </c>
      <c r="K11" s="6" t="s">
        <v>2019</v>
      </c>
      <c r="L11" s="6" t="s">
        <v>103</v>
      </c>
      <c r="M11" s="6" t="s">
        <v>2020</v>
      </c>
      <c r="N11" s="6" t="s">
        <v>2021</v>
      </c>
      <c r="O11" s="3"/>
      <c r="P11" s="2">
        <v>0</v>
      </c>
      <c r="Q11" s="3" t="str">
        <f>IF(OR(O11="",P11=0),"",O11+CHOOSE(P11,1,3,7,14,30,90,365))</f>
        <v/>
      </c>
    </row>
    <row r="12" spans="1:17" ht="30" customHeight="1" x14ac:dyDescent="0.3">
      <c r="A12" s="4" t="s">
        <v>73</v>
      </c>
      <c r="B12" s="4" t="s">
        <v>2022</v>
      </c>
      <c r="C12" s="4" t="s">
        <v>2023</v>
      </c>
      <c r="D12" s="4" t="s">
        <v>138</v>
      </c>
      <c r="E12" s="4" t="s">
        <v>2024</v>
      </c>
      <c r="F12" s="7" t="s">
        <v>2025</v>
      </c>
      <c r="G12" s="4">
        <v>3</v>
      </c>
      <c r="H12" s="7" t="s">
        <v>2026</v>
      </c>
      <c r="I12" s="7" t="s">
        <v>2027</v>
      </c>
      <c r="J12" s="7" t="s">
        <v>2028</v>
      </c>
      <c r="K12" s="7" t="s">
        <v>2029</v>
      </c>
      <c r="L12" s="7" t="s">
        <v>103</v>
      </c>
      <c r="M12" s="7" t="s">
        <v>2030</v>
      </c>
      <c r="N12" s="7" t="s">
        <v>2031</v>
      </c>
      <c r="O12" s="5"/>
      <c r="P12" s="4">
        <v>0</v>
      </c>
      <c r="Q12" s="5" t="str">
        <f>IF(OR(O12="",P12=0),"",O12+CHOOSE(P12,1,3,7,14,30,90,365))</f>
        <v/>
      </c>
    </row>
    <row r="13" spans="1:17" ht="30" customHeight="1" x14ac:dyDescent="0.3">
      <c r="A13" s="2" t="s">
        <v>73</v>
      </c>
      <c r="B13" s="2" t="s">
        <v>2032</v>
      </c>
      <c r="C13" s="2" t="s">
        <v>2033</v>
      </c>
      <c r="D13" s="2" t="s">
        <v>138</v>
      </c>
      <c r="E13" s="2" t="s">
        <v>1972</v>
      </c>
      <c r="F13" s="6" t="s">
        <v>2034</v>
      </c>
      <c r="G13" s="2">
        <v>3</v>
      </c>
      <c r="H13" s="6" t="s">
        <v>2035</v>
      </c>
      <c r="I13" s="6" t="s">
        <v>2036</v>
      </c>
      <c r="J13" s="6" t="s">
        <v>2037</v>
      </c>
      <c r="K13" s="6" t="s">
        <v>2038</v>
      </c>
      <c r="L13" s="6" t="s">
        <v>103</v>
      </c>
      <c r="M13" s="6" t="s">
        <v>2039</v>
      </c>
      <c r="N13" s="6" t="s">
        <v>2040</v>
      </c>
      <c r="O13" s="3"/>
      <c r="P13" s="2">
        <v>0</v>
      </c>
      <c r="Q13" s="3" t="str">
        <f>IF(OR(O13="",P13=0),"",O13+CHOOSE(P13,1,3,7,14,30,90,365))</f>
        <v/>
      </c>
    </row>
    <row r="14" spans="1:17" ht="30" customHeight="1" x14ac:dyDescent="0.3">
      <c r="A14" s="4" t="s">
        <v>73</v>
      </c>
      <c r="B14" s="4" t="s">
        <v>2041</v>
      </c>
      <c r="C14" s="4" t="s">
        <v>2042</v>
      </c>
      <c r="D14" s="4" t="s">
        <v>138</v>
      </c>
      <c r="E14" s="4" t="s">
        <v>2043</v>
      </c>
      <c r="F14" s="7" t="s">
        <v>2044</v>
      </c>
      <c r="G14" s="4">
        <v>3</v>
      </c>
      <c r="H14" s="7" t="s">
        <v>2045</v>
      </c>
      <c r="I14" s="7" t="s">
        <v>2046</v>
      </c>
      <c r="J14" s="7" t="s">
        <v>2047</v>
      </c>
      <c r="K14" s="7" t="s">
        <v>2048</v>
      </c>
      <c r="L14" s="7" t="s">
        <v>103</v>
      </c>
      <c r="M14" s="7" t="s">
        <v>2049</v>
      </c>
      <c r="N14" s="7" t="s">
        <v>2050</v>
      </c>
      <c r="O14" s="5"/>
      <c r="P14" s="4">
        <v>0</v>
      </c>
      <c r="Q14" s="5" t="str">
        <f>IF(OR(O14="",P14=0),"",O14+CHOOSE(P14,1,3,7,14,30,90,365))</f>
        <v/>
      </c>
    </row>
    <row r="15" spans="1:17" ht="30" customHeight="1" x14ac:dyDescent="0.3">
      <c r="A15" s="18" t="s">
        <v>2051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3">
      <c r="A16" s="2" t="s">
        <v>73</v>
      </c>
      <c r="B16" s="2" t="s">
        <v>2052</v>
      </c>
      <c r="C16" s="2" t="s">
        <v>2053</v>
      </c>
      <c r="D16" s="2" t="s">
        <v>76</v>
      </c>
      <c r="E16" s="2" t="s">
        <v>1982</v>
      </c>
      <c r="F16" s="6" t="s">
        <v>2054</v>
      </c>
      <c r="G16" s="2">
        <v>3</v>
      </c>
      <c r="H16" s="6" t="s">
        <v>2055</v>
      </c>
      <c r="I16" s="6" t="s">
        <v>2056</v>
      </c>
      <c r="J16" s="6" t="s">
        <v>2057</v>
      </c>
      <c r="K16" s="6" t="s">
        <v>2058</v>
      </c>
      <c r="L16" s="6" t="s">
        <v>103</v>
      </c>
      <c r="M16" s="6" t="s">
        <v>2059</v>
      </c>
      <c r="N16" s="6" t="s">
        <v>2060</v>
      </c>
      <c r="O16" s="3"/>
      <c r="P16" s="2">
        <v>0</v>
      </c>
      <c r="Q16" s="3" t="str">
        <f t="shared" ref="Q16:Q22" si="0">IF(OR(O16="",P16=0),"",O16+CHOOSE(P16,1,3,7,14,30,90,365))</f>
        <v/>
      </c>
    </row>
    <row r="17" spans="1:17" ht="30" customHeight="1" x14ac:dyDescent="0.3">
      <c r="A17" s="4" t="s">
        <v>73</v>
      </c>
      <c r="B17" s="4" t="s">
        <v>2061</v>
      </c>
      <c r="C17" s="4" t="s">
        <v>2062</v>
      </c>
      <c r="D17" s="4" t="s">
        <v>138</v>
      </c>
      <c r="E17" s="4" t="s">
        <v>2063</v>
      </c>
      <c r="F17" s="7" t="s">
        <v>2064</v>
      </c>
      <c r="G17" s="4">
        <v>3</v>
      </c>
      <c r="H17" s="7" t="s">
        <v>2065</v>
      </c>
      <c r="I17" s="7" t="s">
        <v>2066</v>
      </c>
      <c r="J17" s="7" t="s">
        <v>2067</v>
      </c>
      <c r="K17" s="7" t="s">
        <v>2068</v>
      </c>
      <c r="L17" s="7" t="s">
        <v>103</v>
      </c>
      <c r="M17" s="7" t="s">
        <v>2069</v>
      </c>
      <c r="N17" s="7" t="s">
        <v>2070</v>
      </c>
      <c r="O17" s="5"/>
      <c r="P17" s="4">
        <v>0</v>
      </c>
      <c r="Q17" s="5" t="str">
        <f t="shared" si="0"/>
        <v/>
      </c>
    </row>
    <row r="18" spans="1:17" ht="30" customHeight="1" x14ac:dyDescent="0.3">
      <c r="A18" s="2" t="s">
        <v>73</v>
      </c>
      <c r="B18" s="2" t="s">
        <v>2071</v>
      </c>
      <c r="C18" s="2" t="s">
        <v>2072</v>
      </c>
      <c r="D18" s="2" t="s">
        <v>138</v>
      </c>
      <c r="E18" s="2" t="s">
        <v>2073</v>
      </c>
      <c r="F18" s="6" t="s">
        <v>2074</v>
      </c>
      <c r="G18" s="2">
        <v>3</v>
      </c>
      <c r="H18" s="6" t="s">
        <v>2075</v>
      </c>
      <c r="I18" s="6" t="s">
        <v>2076</v>
      </c>
      <c r="J18" s="6" t="s">
        <v>2077</v>
      </c>
      <c r="K18" s="6" t="s">
        <v>2078</v>
      </c>
      <c r="L18" s="6" t="s">
        <v>103</v>
      </c>
      <c r="M18" s="6" t="s">
        <v>2079</v>
      </c>
      <c r="N18" s="6" t="s">
        <v>2080</v>
      </c>
      <c r="O18" s="3"/>
      <c r="P18" s="2">
        <v>0</v>
      </c>
      <c r="Q18" s="3" t="str">
        <f t="shared" si="0"/>
        <v/>
      </c>
    </row>
    <row r="19" spans="1:17" ht="30" customHeight="1" x14ac:dyDescent="0.3">
      <c r="A19" s="4" t="s">
        <v>73</v>
      </c>
      <c r="B19" s="4" t="s">
        <v>2081</v>
      </c>
      <c r="C19" s="4" t="s">
        <v>2082</v>
      </c>
      <c r="D19" s="4" t="s">
        <v>138</v>
      </c>
      <c r="E19" s="4" t="s">
        <v>2083</v>
      </c>
      <c r="F19" s="7" t="s">
        <v>2084</v>
      </c>
      <c r="G19" s="4">
        <v>4</v>
      </c>
      <c r="H19" s="7" t="s">
        <v>2085</v>
      </c>
      <c r="I19" s="7" t="s">
        <v>2086</v>
      </c>
      <c r="J19" s="7" t="s">
        <v>2087</v>
      </c>
      <c r="K19" s="7" t="s">
        <v>2088</v>
      </c>
      <c r="L19" s="7" t="s">
        <v>2089</v>
      </c>
      <c r="M19" s="7" t="s">
        <v>2090</v>
      </c>
      <c r="N19" s="7" t="s">
        <v>2091</v>
      </c>
      <c r="O19" s="5"/>
      <c r="P19" s="4">
        <v>0</v>
      </c>
      <c r="Q19" s="5" t="str">
        <f t="shared" si="0"/>
        <v/>
      </c>
    </row>
    <row r="20" spans="1:17" ht="30" customHeight="1" x14ac:dyDescent="0.3">
      <c r="A20" s="2" t="s">
        <v>73</v>
      </c>
      <c r="B20" s="2" t="s">
        <v>2092</v>
      </c>
      <c r="C20" s="2" t="s">
        <v>2093</v>
      </c>
      <c r="D20" s="2" t="s">
        <v>76</v>
      </c>
      <c r="E20" s="2" t="s">
        <v>1982</v>
      </c>
      <c r="F20" s="6" t="s">
        <v>2094</v>
      </c>
      <c r="G20" s="2">
        <v>3</v>
      </c>
      <c r="H20" s="6" t="s">
        <v>2095</v>
      </c>
      <c r="I20" s="6" t="s">
        <v>2096</v>
      </c>
      <c r="J20" s="6" t="s">
        <v>2097</v>
      </c>
      <c r="K20" s="6" t="s">
        <v>2098</v>
      </c>
      <c r="L20" s="6" t="s">
        <v>103</v>
      </c>
      <c r="M20" s="6" t="s">
        <v>2099</v>
      </c>
      <c r="N20" s="6" t="s">
        <v>2100</v>
      </c>
      <c r="O20" s="3"/>
      <c r="P20" s="2">
        <v>0</v>
      </c>
      <c r="Q20" s="3" t="str">
        <f t="shared" si="0"/>
        <v/>
      </c>
    </row>
    <row r="21" spans="1:17" ht="30" customHeight="1" x14ac:dyDescent="0.3">
      <c r="A21" s="4" t="s">
        <v>73</v>
      </c>
      <c r="B21" s="4" t="s">
        <v>262</v>
      </c>
      <c r="C21" s="4" t="s">
        <v>2101</v>
      </c>
      <c r="D21" s="4" t="s">
        <v>138</v>
      </c>
      <c r="E21" s="4" t="s">
        <v>2102</v>
      </c>
      <c r="F21" s="7" t="s">
        <v>2103</v>
      </c>
      <c r="G21" s="4">
        <v>3</v>
      </c>
      <c r="H21" s="7" t="s">
        <v>2104</v>
      </c>
      <c r="I21" s="7" t="s">
        <v>2105</v>
      </c>
      <c r="J21" s="7" t="s">
        <v>2106</v>
      </c>
      <c r="K21" s="7" t="s">
        <v>2107</v>
      </c>
      <c r="L21" s="7" t="s">
        <v>103</v>
      </c>
      <c r="M21" s="7" t="s">
        <v>2108</v>
      </c>
      <c r="N21" s="7" t="s">
        <v>2109</v>
      </c>
      <c r="O21" s="5"/>
      <c r="P21" s="4">
        <v>0</v>
      </c>
      <c r="Q21" s="5" t="str">
        <f t="shared" si="0"/>
        <v/>
      </c>
    </row>
    <row r="22" spans="1:17" ht="30" customHeight="1" x14ac:dyDescent="0.3">
      <c r="A22" s="2" t="s">
        <v>73</v>
      </c>
      <c r="B22" s="2" t="s">
        <v>2110</v>
      </c>
      <c r="C22" s="2" t="s">
        <v>2111</v>
      </c>
      <c r="D22" s="2" t="s">
        <v>138</v>
      </c>
      <c r="E22" s="2" t="s">
        <v>2112</v>
      </c>
      <c r="F22" s="6" t="s">
        <v>2113</v>
      </c>
      <c r="G22" s="2">
        <v>3</v>
      </c>
      <c r="H22" s="6" t="s">
        <v>2114</v>
      </c>
      <c r="I22" s="6" t="s">
        <v>2115</v>
      </c>
      <c r="J22" s="6" t="s">
        <v>2116</v>
      </c>
      <c r="K22" s="6" t="s">
        <v>2117</v>
      </c>
      <c r="L22" s="6" t="s">
        <v>2118</v>
      </c>
      <c r="M22" s="6" t="s">
        <v>2119</v>
      </c>
      <c r="N22" s="6" t="s">
        <v>2120</v>
      </c>
      <c r="O22" s="3"/>
      <c r="P22" s="2">
        <v>0</v>
      </c>
      <c r="Q22" s="3" t="str">
        <f t="shared" si="0"/>
        <v/>
      </c>
    </row>
  </sheetData>
  <autoFilter ref="A4:Q4" xr:uid="{00000000-0009-0000-0000-00000D000000}"/>
  <mergeCells count="6">
    <mergeCell ref="A15:Q15"/>
    <mergeCell ref="A1:Q1"/>
    <mergeCell ref="A2:Q2"/>
    <mergeCell ref="A3:P3"/>
    <mergeCell ref="A5:Q5"/>
    <mergeCell ref="A10:Q10"/>
  </mergeCells>
  <conditionalFormatting sqref="A6:A9">
    <cfRule type="expression" dxfId="189" priority="3">
      <formula>$A6="Completed"</formula>
    </cfRule>
    <cfRule type="expression" dxfId="188" priority="4">
      <formula>$A6="In Progress"</formula>
    </cfRule>
    <cfRule type="expression" dxfId="187" priority="5">
      <formula>$A6="Not Started"</formula>
    </cfRule>
    <cfRule type="expression" dxfId="186" priority="6">
      <formula>$A6="Research"</formula>
    </cfRule>
    <cfRule type="expression" dxfId="185" priority="7">
      <formula>$A6="Project"</formula>
    </cfRule>
    <cfRule type="expression" dxfId="184" priority="8">
      <formula>$A6="Optional"</formula>
    </cfRule>
  </conditionalFormatting>
  <conditionalFormatting sqref="A11:A14">
    <cfRule type="expression" dxfId="183" priority="11">
      <formula>$A11="Completed"</formula>
    </cfRule>
    <cfRule type="expression" dxfId="182" priority="12">
      <formula>$A11="In Progress"</formula>
    </cfRule>
    <cfRule type="expression" dxfId="181" priority="13">
      <formula>$A11="Not Started"</formula>
    </cfRule>
    <cfRule type="expression" dxfId="180" priority="14">
      <formula>$A11="Research"</formula>
    </cfRule>
    <cfRule type="expression" dxfId="179" priority="15">
      <formula>$A11="Project"</formula>
    </cfRule>
    <cfRule type="expression" dxfId="178" priority="16">
      <formula>$A11="Optional"</formula>
    </cfRule>
  </conditionalFormatting>
  <conditionalFormatting sqref="A16:A22">
    <cfRule type="expression" dxfId="177" priority="19">
      <formula>$A16="Completed"</formula>
    </cfRule>
    <cfRule type="expression" dxfId="176" priority="20">
      <formula>$A16="In Progress"</formula>
    </cfRule>
    <cfRule type="expression" dxfId="175" priority="21">
      <formula>$A16="Not Started"</formula>
    </cfRule>
    <cfRule type="expression" dxfId="174" priority="22">
      <formula>$A16="Research"</formula>
    </cfRule>
    <cfRule type="expression" dxfId="173" priority="23">
      <formula>$A16="Project"</formula>
    </cfRule>
    <cfRule type="expression" dxfId="172" priority="24">
      <formula>$A16="Optional"</formula>
    </cfRule>
  </conditionalFormatting>
  <conditionalFormatting sqref="Q3">
    <cfRule type="dataBar" priority="2">
      <dataBar>
        <cfvo type="num" val="0"/>
        <cfvo type="num" val="100"/>
        <color rgb="FF8FC1E9"/>
      </dataBar>
      <extLst>
        <ext xmlns:x14="http://schemas.microsoft.com/office/spreadsheetml/2009/9/main" uri="{B025F937-C7B1-47D3-B67F-A62EFF666E3E}">
          <x14:id>{3744C61D-C0EE-42DA-B9A7-3C4E929B10F2}</x14:id>
        </ext>
      </extLst>
    </cfRule>
  </conditionalFormatting>
  <conditionalFormatting sqref="Q6:Q9">
    <cfRule type="expression" dxfId="171" priority="9">
      <formula>AND($Q6&lt;&gt;"",$Q6&lt;TODAY())</formula>
    </cfRule>
    <cfRule type="expression" dxfId="170" priority="10">
      <formula>AND($Q6&lt;&gt;"",$Q6&gt;=TODAY(),$Q6&lt;=TODAY()+3)</formula>
    </cfRule>
  </conditionalFormatting>
  <conditionalFormatting sqref="Q11:Q14">
    <cfRule type="expression" dxfId="169" priority="17">
      <formula>AND($Q11&lt;&gt;"",$Q11&lt;TODAY())</formula>
    </cfRule>
    <cfRule type="expression" dxfId="168" priority="18">
      <formula>AND($Q11&lt;&gt;"",$Q11&gt;=TODAY(),$Q11&lt;=TODAY()+3)</formula>
    </cfRule>
  </conditionalFormatting>
  <conditionalFormatting sqref="Q16:Q22">
    <cfRule type="expression" dxfId="167" priority="25">
      <formula>AND($Q16&lt;&gt;"",$Q16&lt;TODAY())</formula>
    </cfRule>
    <cfRule type="expression" dxfId="166" priority="26">
      <formula>AND($Q16&lt;&gt;"",$Q16&gt;=TODAY(),$Q16&lt;=TODAY()+3)</formula>
    </cfRule>
  </conditionalFormatting>
  <dataValidations count="3">
    <dataValidation type="list" allowBlank="1" sqref="P6:P9 P11:P14 P16:P22" xr:uid="{00000000-0002-0000-0D00-000000000000}">
      <formula1>"0,1,2,3,4,5,6,7"</formula1>
      <formula2>0</formula2>
    </dataValidation>
    <dataValidation type="list" allowBlank="1" sqref="A6:A9 A16:A22 A11:A14" xr:uid="{00000000-0002-0000-0D00-000001000000}">
      <formula1>"Completed,In Progress,Not Started,Research,Project,Optional"</formula1>
      <formula2>0</formula2>
    </dataValidation>
    <dataValidation type="list" allowBlank="1" sqref="D6:D9 D16:D22 D11:D14" xr:uid="{00000000-0002-0000-0D00-000002000000}">
      <formula1>"Intermediate,Advanced,Expert,Research-Level"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44C61D-C0EE-42DA-B9A7-3C4E929B10F2}">
            <x14:dataBar axisPosition="none">
              <x14:cfvo type="num">
                <xm:f>0</xm:f>
              </x14:cfvo>
              <x14:cfvo type="num">
                <xm:f>100</xm:f>
              </x14:cfvo>
              <x14:negativeFillColor rgb="FF8FC1E9"/>
            </x14:dataBar>
          </x14:cfRule>
          <xm:sqref>Q3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29"/>
  <sheetViews>
    <sheetView showGridLines="0" zoomScaleNormal="100" workbookViewId="0">
      <pane ySplit="4" topLeftCell="A26" activePane="bottomLeft" state="frozen"/>
      <selection pane="bottomLeft" sqref="A1:Q1"/>
    </sheetView>
  </sheetViews>
  <sheetFormatPr defaultColWidth="8.6640625" defaultRowHeight="14.4" x14ac:dyDescent="0.3"/>
  <cols>
    <col min="1" max="1" width="12" customWidth="1"/>
    <col min="2" max="2" width="22" customWidth="1"/>
    <col min="3" max="3" width="30" customWidth="1"/>
    <col min="4" max="4" width="12" customWidth="1"/>
    <col min="5" max="5" width="22" customWidth="1"/>
    <col min="6" max="6" width="34" customWidth="1"/>
    <col min="7" max="7" width="9" customWidth="1"/>
    <col min="8" max="8" width="26" customWidth="1"/>
    <col min="9" max="9" width="30" customWidth="1"/>
    <col min="10" max="10" width="24" customWidth="1"/>
    <col min="11" max="12" width="30" customWidth="1"/>
    <col min="13" max="13" width="40" customWidth="1"/>
    <col min="14" max="14" width="30" customWidth="1"/>
    <col min="15" max="15" width="13" customWidth="1"/>
    <col min="16" max="16" width="11" customWidth="1"/>
    <col min="17" max="17" width="13" customWidth="1"/>
  </cols>
  <sheetData>
    <row r="1" spans="1:17" ht="33.75" customHeight="1" x14ac:dyDescent="0.3">
      <c r="A1" s="19" t="s">
        <v>54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ht="15" customHeight="1" x14ac:dyDescent="0.3">
      <c r="A2" s="20" t="s">
        <v>2121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ht="19.5" customHeight="1" x14ac:dyDescent="0.3">
      <c r="A3" s="21" t="s">
        <v>2122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12">
        <f>ROUND(COUNTIF(A5:A29,"Completed")/SUMPRODUCT(COUNTIF(A5:A29,{"Completed","In Progress","Not Started","Research","Project","Optional"}))*100,0)</f>
        <v>0</v>
      </c>
    </row>
    <row r="4" spans="1:17" ht="31.5" customHeight="1" x14ac:dyDescent="0.3">
      <c r="A4" s="1" t="s">
        <v>58</v>
      </c>
      <c r="B4" s="1" t="s">
        <v>6</v>
      </c>
      <c r="C4" s="1" t="s">
        <v>7</v>
      </c>
      <c r="D4" s="1" t="s">
        <v>59</v>
      </c>
      <c r="E4" s="1" t="s">
        <v>60</v>
      </c>
      <c r="F4" s="1" t="s">
        <v>61</v>
      </c>
      <c r="G4" s="1" t="s">
        <v>62</v>
      </c>
      <c r="H4" s="1" t="s">
        <v>63</v>
      </c>
      <c r="I4" s="1" t="s">
        <v>64</v>
      </c>
      <c r="J4" s="1" t="s">
        <v>65</v>
      </c>
      <c r="K4" s="1" t="s">
        <v>66</v>
      </c>
      <c r="L4" s="1" t="s">
        <v>67</v>
      </c>
      <c r="M4" s="1" t="s">
        <v>68</v>
      </c>
      <c r="N4" s="1" t="s">
        <v>11</v>
      </c>
      <c r="O4" s="1" t="s">
        <v>69</v>
      </c>
      <c r="P4" s="1" t="s">
        <v>70</v>
      </c>
      <c r="Q4" s="1" t="s">
        <v>71</v>
      </c>
    </row>
    <row r="5" spans="1:17" ht="30" customHeight="1" x14ac:dyDescent="0.3">
      <c r="A5" s="18" t="s">
        <v>2123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3">
      <c r="A6" s="2" t="s">
        <v>73</v>
      </c>
      <c r="B6" s="2" t="s">
        <v>2124</v>
      </c>
      <c r="C6" s="2" t="s">
        <v>2125</v>
      </c>
      <c r="D6" s="2" t="s">
        <v>76</v>
      </c>
      <c r="E6" s="2" t="s">
        <v>2126</v>
      </c>
      <c r="F6" s="6" t="s">
        <v>2127</v>
      </c>
      <c r="G6" s="2">
        <v>2</v>
      </c>
      <c r="H6" s="6" t="s">
        <v>2128</v>
      </c>
      <c r="I6" s="6" t="s">
        <v>2129</v>
      </c>
      <c r="J6" s="6" t="s">
        <v>103</v>
      </c>
      <c r="K6" s="6" t="s">
        <v>103</v>
      </c>
      <c r="L6" s="6" t="s">
        <v>103</v>
      </c>
      <c r="M6" s="6" t="s">
        <v>2130</v>
      </c>
      <c r="N6" s="6" t="s">
        <v>2131</v>
      </c>
      <c r="O6" s="3"/>
      <c r="P6" s="2">
        <v>0</v>
      </c>
      <c r="Q6" s="3" t="str">
        <f>IF(OR(O6="",P6=0),"",O6+CHOOSE(P6,1,3,7,14,30,90,365))</f>
        <v/>
      </c>
    </row>
    <row r="7" spans="1:17" ht="30" customHeight="1" x14ac:dyDescent="0.3">
      <c r="A7" s="4" t="s">
        <v>73</v>
      </c>
      <c r="B7" s="4" t="s">
        <v>2132</v>
      </c>
      <c r="C7" s="4" t="s">
        <v>2133</v>
      </c>
      <c r="D7" s="4" t="s">
        <v>138</v>
      </c>
      <c r="E7" s="4" t="s">
        <v>2124</v>
      </c>
      <c r="F7" s="7" t="s">
        <v>2134</v>
      </c>
      <c r="G7" s="4">
        <v>5</v>
      </c>
      <c r="H7" s="7" t="s">
        <v>2135</v>
      </c>
      <c r="I7" s="7" t="s">
        <v>2136</v>
      </c>
      <c r="J7" s="7" t="s">
        <v>2137</v>
      </c>
      <c r="K7" s="7" t="s">
        <v>2138</v>
      </c>
      <c r="L7" s="7" t="s">
        <v>2139</v>
      </c>
      <c r="M7" s="7" t="s">
        <v>2140</v>
      </c>
      <c r="N7" s="7" t="s">
        <v>2141</v>
      </c>
      <c r="O7" s="5"/>
      <c r="P7" s="4">
        <v>0</v>
      </c>
      <c r="Q7" s="5" t="str">
        <f>IF(OR(O7="",P7=0),"",O7+CHOOSE(P7,1,3,7,14,30,90,365))</f>
        <v/>
      </c>
    </row>
    <row r="8" spans="1:17" ht="30" customHeight="1" x14ac:dyDescent="0.3">
      <c r="A8" s="2" t="s">
        <v>73</v>
      </c>
      <c r="B8" s="2" t="s">
        <v>2142</v>
      </c>
      <c r="C8" s="2" t="s">
        <v>2143</v>
      </c>
      <c r="D8" s="2" t="s">
        <v>138</v>
      </c>
      <c r="E8" s="2" t="s">
        <v>2132</v>
      </c>
      <c r="F8" s="6" t="s">
        <v>2144</v>
      </c>
      <c r="G8" s="2">
        <v>4</v>
      </c>
      <c r="H8" s="6" t="s">
        <v>2145</v>
      </c>
      <c r="I8" s="6" t="s">
        <v>2146</v>
      </c>
      <c r="J8" s="6" t="s">
        <v>103</v>
      </c>
      <c r="K8" s="6" t="s">
        <v>103</v>
      </c>
      <c r="L8" s="6" t="s">
        <v>103</v>
      </c>
      <c r="M8" s="6" t="s">
        <v>2147</v>
      </c>
      <c r="N8" s="6" t="s">
        <v>2148</v>
      </c>
      <c r="O8" s="3"/>
      <c r="P8" s="2">
        <v>0</v>
      </c>
      <c r="Q8" s="3" t="str">
        <f>IF(OR(O8="",P8=0),"",O8+CHOOSE(P8,1,3,7,14,30,90,365))</f>
        <v/>
      </c>
    </row>
    <row r="9" spans="1:17" ht="30" customHeight="1" x14ac:dyDescent="0.3">
      <c r="A9" s="18" t="s">
        <v>2149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3">
      <c r="A10" s="4" t="s">
        <v>73</v>
      </c>
      <c r="B10" s="4" t="s">
        <v>2150</v>
      </c>
      <c r="C10" s="4" t="s">
        <v>2151</v>
      </c>
      <c r="D10" s="4" t="s">
        <v>76</v>
      </c>
      <c r="E10" s="4" t="s">
        <v>2126</v>
      </c>
      <c r="F10" s="7" t="s">
        <v>2152</v>
      </c>
      <c r="G10" s="4">
        <v>4</v>
      </c>
      <c r="H10" s="7" t="s">
        <v>2153</v>
      </c>
      <c r="I10" s="7" t="s">
        <v>2154</v>
      </c>
      <c r="J10" s="7" t="s">
        <v>2155</v>
      </c>
      <c r="K10" s="7" t="s">
        <v>2156</v>
      </c>
      <c r="L10" s="7" t="s">
        <v>2157</v>
      </c>
      <c r="M10" s="7" t="s">
        <v>2158</v>
      </c>
      <c r="N10" s="7" t="s">
        <v>2159</v>
      </c>
      <c r="O10" s="5"/>
      <c r="P10" s="4">
        <v>0</v>
      </c>
      <c r="Q10" s="5" t="str">
        <f t="shared" ref="Q10:Q18" si="0">IF(OR(O10="",P10=0),"",O10+CHOOSE(P10,1,3,7,14,30,90,365))</f>
        <v/>
      </c>
    </row>
    <row r="11" spans="1:17" ht="30" customHeight="1" x14ac:dyDescent="0.3">
      <c r="A11" s="2" t="s">
        <v>73</v>
      </c>
      <c r="B11" s="2" t="s">
        <v>2160</v>
      </c>
      <c r="C11" s="2" t="s">
        <v>2161</v>
      </c>
      <c r="D11" s="2" t="s">
        <v>76</v>
      </c>
      <c r="E11" s="2" t="s">
        <v>2162</v>
      </c>
      <c r="F11" s="6" t="s">
        <v>2163</v>
      </c>
      <c r="G11" s="2">
        <v>3</v>
      </c>
      <c r="H11" s="6" t="s">
        <v>2164</v>
      </c>
      <c r="I11" s="6" t="s">
        <v>2165</v>
      </c>
      <c r="J11" s="6" t="s">
        <v>2166</v>
      </c>
      <c r="K11" s="6" t="s">
        <v>2167</v>
      </c>
      <c r="L11" s="6" t="s">
        <v>103</v>
      </c>
      <c r="M11" s="6" t="s">
        <v>2168</v>
      </c>
      <c r="N11" s="6" t="s">
        <v>2169</v>
      </c>
      <c r="O11" s="3"/>
      <c r="P11" s="2">
        <v>0</v>
      </c>
      <c r="Q11" s="3" t="str">
        <f t="shared" si="0"/>
        <v/>
      </c>
    </row>
    <row r="12" spans="1:17" ht="30" customHeight="1" x14ac:dyDescent="0.3">
      <c r="A12" s="4" t="s">
        <v>73</v>
      </c>
      <c r="B12" s="4" t="s">
        <v>2170</v>
      </c>
      <c r="C12" s="4" t="s">
        <v>2171</v>
      </c>
      <c r="D12" s="4" t="s">
        <v>76</v>
      </c>
      <c r="E12" s="4" t="s">
        <v>2172</v>
      </c>
      <c r="F12" s="7" t="s">
        <v>2173</v>
      </c>
      <c r="G12" s="4">
        <v>3</v>
      </c>
      <c r="H12" s="7" t="s">
        <v>2174</v>
      </c>
      <c r="I12" s="7" t="s">
        <v>2175</v>
      </c>
      <c r="J12" s="7" t="s">
        <v>2176</v>
      </c>
      <c r="K12" s="7" t="s">
        <v>2177</v>
      </c>
      <c r="L12" s="7" t="s">
        <v>2178</v>
      </c>
      <c r="M12" s="7" t="s">
        <v>2179</v>
      </c>
      <c r="N12" s="7" t="s">
        <v>2180</v>
      </c>
      <c r="O12" s="5"/>
      <c r="P12" s="4">
        <v>0</v>
      </c>
      <c r="Q12" s="5" t="str">
        <f t="shared" si="0"/>
        <v/>
      </c>
    </row>
    <row r="13" spans="1:17" ht="30" customHeight="1" x14ac:dyDescent="0.3">
      <c r="A13" s="2" t="s">
        <v>73</v>
      </c>
      <c r="B13" s="2" t="s">
        <v>2181</v>
      </c>
      <c r="C13" s="2" t="s">
        <v>2182</v>
      </c>
      <c r="D13" s="2" t="s">
        <v>76</v>
      </c>
      <c r="E13" s="2" t="s">
        <v>2126</v>
      </c>
      <c r="F13" s="6" t="s">
        <v>2183</v>
      </c>
      <c r="G13" s="2">
        <v>3</v>
      </c>
      <c r="H13" s="6" t="s">
        <v>2184</v>
      </c>
      <c r="I13" s="6" t="s">
        <v>2185</v>
      </c>
      <c r="J13" s="6" t="s">
        <v>2186</v>
      </c>
      <c r="K13" s="6" t="s">
        <v>2187</v>
      </c>
      <c r="L13" s="6" t="s">
        <v>103</v>
      </c>
      <c r="M13" s="6" t="s">
        <v>2188</v>
      </c>
      <c r="N13" s="6" t="s">
        <v>2189</v>
      </c>
      <c r="O13" s="3"/>
      <c r="P13" s="2">
        <v>0</v>
      </c>
      <c r="Q13" s="3" t="str">
        <f t="shared" si="0"/>
        <v/>
      </c>
    </row>
    <row r="14" spans="1:17" ht="30" customHeight="1" x14ac:dyDescent="0.3">
      <c r="A14" s="4" t="s">
        <v>73</v>
      </c>
      <c r="B14" s="4" t="s">
        <v>2190</v>
      </c>
      <c r="C14" s="4" t="s">
        <v>2191</v>
      </c>
      <c r="D14" s="4" t="s">
        <v>138</v>
      </c>
      <c r="E14" s="4" t="s">
        <v>2150</v>
      </c>
      <c r="F14" s="7" t="s">
        <v>2192</v>
      </c>
      <c r="G14" s="4">
        <v>3</v>
      </c>
      <c r="H14" s="7" t="s">
        <v>2193</v>
      </c>
      <c r="I14" s="7" t="s">
        <v>2194</v>
      </c>
      <c r="J14" s="7" t="s">
        <v>2195</v>
      </c>
      <c r="K14" s="7" t="s">
        <v>103</v>
      </c>
      <c r="L14" s="7" t="s">
        <v>103</v>
      </c>
      <c r="M14" s="7" t="s">
        <v>2196</v>
      </c>
      <c r="N14" s="7" t="s">
        <v>2197</v>
      </c>
      <c r="O14" s="5"/>
      <c r="P14" s="4">
        <v>0</v>
      </c>
      <c r="Q14" s="5" t="str">
        <f t="shared" si="0"/>
        <v/>
      </c>
    </row>
    <row r="15" spans="1:17" ht="30" customHeight="1" x14ac:dyDescent="0.3">
      <c r="A15" s="2" t="s">
        <v>73</v>
      </c>
      <c r="B15" s="2" t="s">
        <v>2198</v>
      </c>
      <c r="C15" s="2" t="s">
        <v>2199</v>
      </c>
      <c r="D15" s="2" t="s">
        <v>76</v>
      </c>
      <c r="E15" s="2" t="s">
        <v>2200</v>
      </c>
      <c r="F15" s="6" t="s">
        <v>2201</v>
      </c>
      <c r="G15" s="2">
        <v>4</v>
      </c>
      <c r="H15" s="6" t="s">
        <v>2202</v>
      </c>
      <c r="I15" s="6" t="s">
        <v>2203</v>
      </c>
      <c r="J15" s="6" t="s">
        <v>2204</v>
      </c>
      <c r="K15" s="6" t="s">
        <v>2205</v>
      </c>
      <c r="L15" s="6" t="s">
        <v>2206</v>
      </c>
      <c r="M15" s="6" t="s">
        <v>2207</v>
      </c>
      <c r="N15" s="6" t="s">
        <v>2208</v>
      </c>
      <c r="O15" s="3"/>
      <c r="P15" s="2">
        <v>0</v>
      </c>
      <c r="Q15" s="3" t="str">
        <f t="shared" si="0"/>
        <v/>
      </c>
    </row>
    <row r="16" spans="1:17" ht="30" customHeight="1" x14ac:dyDescent="0.3">
      <c r="A16" s="4" t="s">
        <v>73</v>
      </c>
      <c r="B16" s="4" t="s">
        <v>2200</v>
      </c>
      <c r="C16" s="4" t="s">
        <v>2209</v>
      </c>
      <c r="D16" s="4" t="s">
        <v>76</v>
      </c>
      <c r="E16" s="4" t="s">
        <v>2210</v>
      </c>
      <c r="F16" s="7" t="s">
        <v>2211</v>
      </c>
      <c r="G16" s="4">
        <v>2</v>
      </c>
      <c r="H16" s="7" t="s">
        <v>2212</v>
      </c>
      <c r="I16" s="7" t="s">
        <v>2213</v>
      </c>
      <c r="J16" s="7" t="s">
        <v>2214</v>
      </c>
      <c r="K16" s="7" t="s">
        <v>2215</v>
      </c>
      <c r="L16" s="7" t="s">
        <v>103</v>
      </c>
      <c r="M16" s="7" t="s">
        <v>2216</v>
      </c>
      <c r="N16" s="7" t="s">
        <v>2217</v>
      </c>
      <c r="O16" s="5"/>
      <c r="P16" s="4">
        <v>0</v>
      </c>
      <c r="Q16" s="5" t="str">
        <f t="shared" si="0"/>
        <v/>
      </c>
    </row>
    <row r="17" spans="1:17" ht="30" customHeight="1" x14ac:dyDescent="0.3">
      <c r="A17" s="2" t="s">
        <v>73</v>
      </c>
      <c r="B17" s="2" t="s">
        <v>2218</v>
      </c>
      <c r="C17" s="2" t="s">
        <v>2219</v>
      </c>
      <c r="D17" s="2" t="s">
        <v>138</v>
      </c>
      <c r="E17" s="2" t="s">
        <v>2220</v>
      </c>
      <c r="F17" s="6" t="s">
        <v>2221</v>
      </c>
      <c r="G17" s="2">
        <v>3</v>
      </c>
      <c r="H17" s="6" t="s">
        <v>2222</v>
      </c>
      <c r="I17" s="6" t="s">
        <v>2223</v>
      </c>
      <c r="J17" s="6" t="s">
        <v>2224</v>
      </c>
      <c r="K17" s="6" t="s">
        <v>103</v>
      </c>
      <c r="L17" s="6" t="s">
        <v>103</v>
      </c>
      <c r="M17" s="6" t="s">
        <v>2225</v>
      </c>
      <c r="N17" s="6" t="s">
        <v>2226</v>
      </c>
      <c r="O17" s="3"/>
      <c r="P17" s="2">
        <v>0</v>
      </c>
      <c r="Q17" s="3" t="str">
        <f t="shared" si="0"/>
        <v/>
      </c>
    </row>
    <row r="18" spans="1:17" ht="30" customHeight="1" x14ac:dyDescent="0.3">
      <c r="A18" s="4" t="s">
        <v>73</v>
      </c>
      <c r="B18" s="4" t="s">
        <v>2227</v>
      </c>
      <c r="C18" s="4" t="s">
        <v>2228</v>
      </c>
      <c r="D18" s="4" t="s">
        <v>76</v>
      </c>
      <c r="E18" s="4" t="s">
        <v>2229</v>
      </c>
      <c r="F18" s="7" t="s">
        <v>2230</v>
      </c>
      <c r="G18" s="4">
        <v>2</v>
      </c>
      <c r="H18" s="7" t="s">
        <v>2231</v>
      </c>
      <c r="I18" s="7" t="s">
        <v>2232</v>
      </c>
      <c r="J18" s="7" t="s">
        <v>103</v>
      </c>
      <c r="K18" s="7" t="s">
        <v>103</v>
      </c>
      <c r="L18" s="7" t="s">
        <v>103</v>
      </c>
      <c r="M18" s="7" t="s">
        <v>2233</v>
      </c>
      <c r="N18" s="7" t="s">
        <v>2234</v>
      </c>
      <c r="O18" s="5"/>
      <c r="P18" s="4">
        <v>0</v>
      </c>
      <c r="Q18" s="5" t="str">
        <f t="shared" si="0"/>
        <v/>
      </c>
    </row>
    <row r="19" spans="1:17" ht="30" customHeight="1" x14ac:dyDescent="0.3">
      <c r="A19" s="18" t="s">
        <v>2235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</row>
    <row r="20" spans="1:17" ht="30" customHeight="1" x14ac:dyDescent="0.3">
      <c r="A20" s="2" t="s">
        <v>73</v>
      </c>
      <c r="B20" s="2" t="s">
        <v>2236</v>
      </c>
      <c r="C20" s="2" t="s">
        <v>2237</v>
      </c>
      <c r="D20" s="2" t="s">
        <v>76</v>
      </c>
      <c r="E20" s="2" t="s">
        <v>1682</v>
      </c>
      <c r="F20" s="6" t="s">
        <v>2238</v>
      </c>
      <c r="G20" s="2">
        <v>3</v>
      </c>
      <c r="H20" s="6" t="s">
        <v>2239</v>
      </c>
      <c r="I20" s="6" t="s">
        <v>2240</v>
      </c>
      <c r="J20" s="6" t="s">
        <v>2241</v>
      </c>
      <c r="K20" s="6" t="s">
        <v>2242</v>
      </c>
      <c r="L20" s="6" t="s">
        <v>103</v>
      </c>
      <c r="M20" s="6" t="s">
        <v>2243</v>
      </c>
      <c r="N20" s="6" t="s">
        <v>2244</v>
      </c>
      <c r="O20" s="3"/>
      <c r="P20" s="2">
        <v>0</v>
      </c>
      <c r="Q20" s="3" t="str">
        <f t="shared" ref="Q20:Q29" si="1">IF(OR(O20="",P20=0),"",O20+CHOOSE(P20,1,3,7,14,30,90,365))</f>
        <v/>
      </c>
    </row>
    <row r="21" spans="1:17" ht="30" customHeight="1" x14ac:dyDescent="0.3">
      <c r="A21" s="4" t="s">
        <v>73</v>
      </c>
      <c r="B21" s="4" t="s">
        <v>2245</v>
      </c>
      <c r="C21" s="4" t="s">
        <v>2246</v>
      </c>
      <c r="D21" s="4" t="s">
        <v>138</v>
      </c>
      <c r="E21" s="4" t="s">
        <v>2247</v>
      </c>
      <c r="F21" s="7" t="s">
        <v>2248</v>
      </c>
      <c r="G21" s="4">
        <v>4</v>
      </c>
      <c r="H21" s="7" t="s">
        <v>2249</v>
      </c>
      <c r="I21" s="7" t="s">
        <v>2250</v>
      </c>
      <c r="J21" s="7" t="s">
        <v>2251</v>
      </c>
      <c r="K21" s="7" t="s">
        <v>2252</v>
      </c>
      <c r="L21" s="7" t="s">
        <v>103</v>
      </c>
      <c r="M21" s="7" t="s">
        <v>2253</v>
      </c>
      <c r="N21" s="7" t="s">
        <v>2254</v>
      </c>
      <c r="O21" s="5"/>
      <c r="P21" s="4">
        <v>0</v>
      </c>
      <c r="Q21" s="5" t="str">
        <f t="shared" si="1"/>
        <v/>
      </c>
    </row>
    <row r="22" spans="1:17" ht="30" customHeight="1" x14ac:dyDescent="0.3">
      <c r="A22" s="2" t="s">
        <v>73</v>
      </c>
      <c r="B22" s="2" t="s">
        <v>2255</v>
      </c>
      <c r="C22" s="2" t="s">
        <v>2256</v>
      </c>
      <c r="D22" s="2" t="s">
        <v>138</v>
      </c>
      <c r="E22" s="2" t="s">
        <v>2236</v>
      </c>
      <c r="F22" s="6" t="s">
        <v>2257</v>
      </c>
      <c r="G22" s="2">
        <v>4</v>
      </c>
      <c r="H22" s="6" t="s">
        <v>2258</v>
      </c>
      <c r="I22" s="6" t="s">
        <v>2259</v>
      </c>
      <c r="J22" s="6" t="s">
        <v>2260</v>
      </c>
      <c r="K22" s="6" t="s">
        <v>2261</v>
      </c>
      <c r="L22" s="6" t="s">
        <v>103</v>
      </c>
      <c r="M22" s="6" t="s">
        <v>2262</v>
      </c>
      <c r="N22" s="6" t="s">
        <v>2263</v>
      </c>
      <c r="O22" s="3"/>
      <c r="P22" s="2">
        <v>0</v>
      </c>
      <c r="Q22" s="3" t="str">
        <f t="shared" si="1"/>
        <v/>
      </c>
    </row>
    <row r="23" spans="1:17" ht="30" customHeight="1" x14ac:dyDescent="0.3">
      <c r="A23" s="4" t="s">
        <v>73</v>
      </c>
      <c r="B23" s="4" t="s">
        <v>2264</v>
      </c>
      <c r="C23" s="4" t="s">
        <v>2265</v>
      </c>
      <c r="D23" s="4" t="s">
        <v>76</v>
      </c>
      <c r="E23" s="4" t="s">
        <v>2236</v>
      </c>
      <c r="F23" s="7" t="s">
        <v>2266</v>
      </c>
      <c r="G23" s="4">
        <v>2</v>
      </c>
      <c r="H23" s="7" t="s">
        <v>2267</v>
      </c>
      <c r="I23" s="7" t="s">
        <v>2268</v>
      </c>
      <c r="J23" s="7" t="s">
        <v>2269</v>
      </c>
      <c r="K23" s="7" t="s">
        <v>2270</v>
      </c>
      <c r="L23" s="7" t="s">
        <v>103</v>
      </c>
      <c r="M23" s="7" t="s">
        <v>2271</v>
      </c>
      <c r="N23" s="7" t="s">
        <v>2272</v>
      </c>
      <c r="O23" s="5"/>
      <c r="P23" s="4">
        <v>0</v>
      </c>
      <c r="Q23" s="5" t="str">
        <f t="shared" si="1"/>
        <v/>
      </c>
    </row>
    <row r="24" spans="1:17" ht="30" customHeight="1" x14ac:dyDescent="0.3">
      <c r="A24" s="2" t="s">
        <v>73</v>
      </c>
      <c r="B24" s="2" t="s">
        <v>2273</v>
      </c>
      <c r="C24" s="2" t="s">
        <v>2274</v>
      </c>
      <c r="D24" s="2" t="s">
        <v>138</v>
      </c>
      <c r="E24" s="2" t="s">
        <v>2275</v>
      </c>
      <c r="F24" s="6" t="s">
        <v>2276</v>
      </c>
      <c r="G24" s="2">
        <v>4</v>
      </c>
      <c r="H24" s="6" t="s">
        <v>2277</v>
      </c>
      <c r="I24" s="6" t="s">
        <v>2278</v>
      </c>
      <c r="J24" s="6" t="s">
        <v>2279</v>
      </c>
      <c r="K24" s="6" t="s">
        <v>2280</v>
      </c>
      <c r="L24" s="6" t="s">
        <v>103</v>
      </c>
      <c r="M24" s="6" t="s">
        <v>2281</v>
      </c>
      <c r="N24" s="6" t="s">
        <v>2282</v>
      </c>
      <c r="O24" s="3"/>
      <c r="P24" s="2">
        <v>0</v>
      </c>
      <c r="Q24" s="3" t="str">
        <f t="shared" si="1"/>
        <v/>
      </c>
    </row>
    <row r="25" spans="1:17" ht="30" customHeight="1" x14ac:dyDescent="0.3">
      <c r="A25" s="4" t="s">
        <v>73</v>
      </c>
      <c r="B25" s="4" t="s">
        <v>2283</v>
      </c>
      <c r="C25" s="4" t="s">
        <v>2284</v>
      </c>
      <c r="D25" s="4" t="s">
        <v>138</v>
      </c>
      <c r="E25" s="4" t="s">
        <v>2285</v>
      </c>
      <c r="F25" s="7" t="s">
        <v>2286</v>
      </c>
      <c r="G25" s="4">
        <v>3</v>
      </c>
      <c r="H25" s="7" t="s">
        <v>2287</v>
      </c>
      <c r="I25" s="7" t="s">
        <v>2288</v>
      </c>
      <c r="J25" s="7" t="s">
        <v>2289</v>
      </c>
      <c r="K25" s="7" t="s">
        <v>2290</v>
      </c>
      <c r="L25" s="7" t="s">
        <v>103</v>
      </c>
      <c r="M25" s="7" t="s">
        <v>2291</v>
      </c>
      <c r="N25" s="7" t="s">
        <v>2292</v>
      </c>
      <c r="O25" s="5"/>
      <c r="P25" s="4">
        <v>0</v>
      </c>
      <c r="Q25" s="5" t="str">
        <f t="shared" si="1"/>
        <v/>
      </c>
    </row>
    <row r="26" spans="1:17" ht="30" customHeight="1" x14ac:dyDescent="0.3">
      <c r="A26" s="2" t="s">
        <v>73</v>
      </c>
      <c r="B26" s="2" t="s">
        <v>2293</v>
      </c>
      <c r="C26" s="2" t="s">
        <v>2294</v>
      </c>
      <c r="D26" s="2" t="s">
        <v>138</v>
      </c>
      <c r="E26" s="2" t="s">
        <v>2295</v>
      </c>
      <c r="F26" s="6" t="s">
        <v>2296</v>
      </c>
      <c r="G26" s="2">
        <v>3</v>
      </c>
      <c r="H26" s="6" t="s">
        <v>2297</v>
      </c>
      <c r="I26" s="6" t="s">
        <v>2298</v>
      </c>
      <c r="J26" s="6" t="s">
        <v>2299</v>
      </c>
      <c r="K26" s="6" t="s">
        <v>2300</v>
      </c>
      <c r="L26" s="6" t="s">
        <v>103</v>
      </c>
      <c r="M26" s="6" t="s">
        <v>2301</v>
      </c>
      <c r="N26" s="6" t="s">
        <v>2302</v>
      </c>
      <c r="O26" s="3"/>
      <c r="P26" s="2">
        <v>0</v>
      </c>
      <c r="Q26" s="3" t="str">
        <f t="shared" si="1"/>
        <v/>
      </c>
    </row>
    <row r="27" spans="1:17" ht="30" customHeight="1" x14ac:dyDescent="0.3">
      <c r="A27" s="4" t="s">
        <v>73</v>
      </c>
      <c r="B27" s="4" t="s">
        <v>2303</v>
      </c>
      <c r="C27" s="4" t="s">
        <v>2304</v>
      </c>
      <c r="D27" s="4" t="s">
        <v>138</v>
      </c>
      <c r="E27" s="4" t="s">
        <v>2293</v>
      </c>
      <c r="F27" s="7" t="s">
        <v>2305</v>
      </c>
      <c r="G27" s="4">
        <v>3</v>
      </c>
      <c r="H27" s="7" t="s">
        <v>2306</v>
      </c>
      <c r="I27" s="7" t="s">
        <v>2307</v>
      </c>
      <c r="J27" s="7" t="s">
        <v>2308</v>
      </c>
      <c r="K27" s="7" t="s">
        <v>2309</v>
      </c>
      <c r="L27" s="7" t="s">
        <v>103</v>
      </c>
      <c r="M27" s="7" t="s">
        <v>2310</v>
      </c>
      <c r="N27" s="7" t="s">
        <v>2311</v>
      </c>
      <c r="O27" s="5"/>
      <c r="P27" s="4">
        <v>0</v>
      </c>
      <c r="Q27" s="5" t="str">
        <f t="shared" si="1"/>
        <v/>
      </c>
    </row>
    <row r="28" spans="1:17" ht="30" customHeight="1" x14ac:dyDescent="0.3">
      <c r="A28" s="2" t="s">
        <v>73</v>
      </c>
      <c r="B28" s="2" t="s">
        <v>2312</v>
      </c>
      <c r="C28" s="2" t="s">
        <v>2313</v>
      </c>
      <c r="D28" s="2" t="s">
        <v>138</v>
      </c>
      <c r="E28" s="2" t="s">
        <v>2314</v>
      </c>
      <c r="F28" s="6" t="s">
        <v>2315</v>
      </c>
      <c r="G28" s="2">
        <v>4</v>
      </c>
      <c r="H28" s="6" t="s">
        <v>2316</v>
      </c>
      <c r="I28" s="6" t="s">
        <v>2317</v>
      </c>
      <c r="J28" s="6" t="s">
        <v>2318</v>
      </c>
      <c r="K28" s="6" t="s">
        <v>2319</v>
      </c>
      <c r="L28" s="6" t="s">
        <v>103</v>
      </c>
      <c r="M28" s="6" t="s">
        <v>2320</v>
      </c>
      <c r="N28" s="6" t="s">
        <v>2321</v>
      </c>
      <c r="O28" s="3"/>
      <c r="P28" s="2">
        <v>0</v>
      </c>
      <c r="Q28" s="3" t="str">
        <f t="shared" si="1"/>
        <v/>
      </c>
    </row>
    <row r="29" spans="1:17" ht="30" customHeight="1" x14ac:dyDescent="0.3">
      <c r="A29" s="4" t="s">
        <v>73</v>
      </c>
      <c r="B29" s="4" t="s">
        <v>2322</v>
      </c>
      <c r="C29" s="4" t="s">
        <v>2323</v>
      </c>
      <c r="D29" s="4" t="s">
        <v>76</v>
      </c>
      <c r="E29" s="4" t="s">
        <v>2324</v>
      </c>
      <c r="F29" s="7" t="s">
        <v>2325</v>
      </c>
      <c r="G29" s="4">
        <v>3</v>
      </c>
      <c r="H29" s="7" t="s">
        <v>2326</v>
      </c>
      <c r="I29" s="7" t="s">
        <v>2327</v>
      </c>
      <c r="J29" s="7" t="s">
        <v>2328</v>
      </c>
      <c r="K29" s="7" t="s">
        <v>2329</v>
      </c>
      <c r="L29" s="7" t="s">
        <v>2330</v>
      </c>
      <c r="M29" s="7" t="s">
        <v>2331</v>
      </c>
      <c r="N29" s="7" t="s">
        <v>2332</v>
      </c>
      <c r="O29" s="5"/>
      <c r="P29" s="4">
        <v>0</v>
      </c>
      <c r="Q29" s="5" t="str">
        <f t="shared" si="1"/>
        <v/>
      </c>
    </row>
  </sheetData>
  <autoFilter ref="A4:Q4" xr:uid="{00000000-0009-0000-0000-00000E000000}"/>
  <mergeCells count="6">
    <mergeCell ref="A19:Q19"/>
    <mergeCell ref="A1:Q1"/>
    <mergeCell ref="A2:Q2"/>
    <mergeCell ref="A3:P3"/>
    <mergeCell ref="A5:Q5"/>
    <mergeCell ref="A9:Q9"/>
  </mergeCells>
  <conditionalFormatting sqref="A6:A8">
    <cfRule type="expression" dxfId="165" priority="3">
      <formula>$A6="Completed"</formula>
    </cfRule>
    <cfRule type="expression" dxfId="164" priority="4">
      <formula>$A6="In Progress"</formula>
    </cfRule>
    <cfRule type="expression" dxfId="163" priority="5">
      <formula>$A6="Not Started"</formula>
    </cfRule>
    <cfRule type="expression" dxfId="162" priority="6">
      <formula>$A6="Research"</formula>
    </cfRule>
    <cfRule type="expression" dxfId="161" priority="7">
      <formula>$A6="Project"</formula>
    </cfRule>
    <cfRule type="expression" dxfId="160" priority="8">
      <formula>$A6="Optional"</formula>
    </cfRule>
  </conditionalFormatting>
  <conditionalFormatting sqref="A10:A18">
    <cfRule type="expression" dxfId="159" priority="11">
      <formula>$A10="Completed"</formula>
    </cfRule>
    <cfRule type="expression" dxfId="158" priority="12">
      <formula>$A10="In Progress"</formula>
    </cfRule>
    <cfRule type="expression" dxfId="157" priority="13">
      <formula>$A10="Not Started"</formula>
    </cfRule>
    <cfRule type="expression" dxfId="156" priority="14">
      <formula>$A10="Research"</formula>
    </cfRule>
    <cfRule type="expression" dxfId="155" priority="15">
      <formula>$A10="Project"</formula>
    </cfRule>
    <cfRule type="expression" dxfId="154" priority="16">
      <formula>$A10="Optional"</formula>
    </cfRule>
  </conditionalFormatting>
  <conditionalFormatting sqref="A20:A29">
    <cfRule type="expression" dxfId="153" priority="19">
      <formula>$A20="Completed"</formula>
    </cfRule>
    <cfRule type="expression" dxfId="152" priority="20">
      <formula>$A20="In Progress"</formula>
    </cfRule>
    <cfRule type="expression" dxfId="151" priority="21">
      <formula>$A20="Not Started"</formula>
    </cfRule>
    <cfRule type="expression" dxfId="150" priority="22">
      <formula>$A20="Research"</formula>
    </cfRule>
    <cfRule type="expression" dxfId="149" priority="23">
      <formula>$A20="Project"</formula>
    </cfRule>
    <cfRule type="expression" dxfId="148" priority="24">
      <formula>$A20="Optional"</formula>
    </cfRule>
  </conditionalFormatting>
  <conditionalFormatting sqref="Q3">
    <cfRule type="dataBar" priority="2">
      <dataBar>
        <cfvo type="num" val="0"/>
        <cfvo type="num" val="100"/>
        <color rgb="FF8FC1E9"/>
      </dataBar>
      <extLst>
        <ext xmlns:x14="http://schemas.microsoft.com/office/spreadsheetml/2009/9/main" uri="{B025F937-C7B1-47D3-B67F-A62EFF666E3E}">
          <x14:id>{22A04DD7-40F1-42A0-B6E4-41688528912A}</x14:id>
        </ext>
      </extLst>
    </cfRule>
  </conditionalFormatting>
  <conditionalFormatting sqref="Q6:Q8">
    <cfRule type="expression" dxfId="147" priority="9">
      <formula>AND($Q6&lt;&gt;"",$Q6&lt;TODAY())</formula>
    </cfRule>
    <cfRule type="expression" dxfId="146" priority="10">
      <formula>AND($Q6&lt;&gt;"",$Q6&gt;=TODAY(),$Q6&lt;=TODAY()+3)</formula>
    </cfRule>
  </conditionalFormatting>
  <conditionalFormatting sqref="Q10:Q18">
    <cfRule type="expression" dxfId="145" priority="17">
      <formula>AND($Q10&lt;&gt;"",$Q10&lt;TODAY())</formula>
    </cfRule>
    <cfRule type="expression" dxfId="144" priority="18">
      <formula>AND($Q10&lt;&gt;"",$Q10&gt;=TODAY(),$Q10&lt;=TODAY()+3)</formula>
    </cfRule>
  </conditionalFormatting>
  <conditionalFormatting sqref="Q20:Q29">
    <cfRule type="expression" dxfId="143" priority="25">
      <formula>AND($Q20&lt;&gt;"",$Q20&lt;TODAY())</formula>
    </cfRule>
    <cfRule type="expression" dxfId="142" priority="26">
      <formula>AND($Q20&lt;&gt;"",$Q20&gt;=TODAY(),$Q20&lt;=TODAY()+3)</formula>
    </cfRule>
  </conditionalFormatting>
  <dataValidations count="3">
    <dataValidation type="list" allowBlank="1" sqref="P6:P8 P10:P18 P20:P29" xr:uid="{00000000-0002-0000-0E00-000000000000}">
      <formula1>"0,1,2,3,4,5,6,7"</formula1>
      <formula2>0</formula2>
    </dataValidation>
    <dataValidation type="list" allowBlank="1" sqref="A6:A8 A20:A29 A10:A18" xr:uid="{00000000-0002-0000-0E00-000001000000}">
      <formula1>"Completed,In Progress,Not Started,Research,Project,Optional"</formula1>
      <formula2>0</formula2>
    </dataValidation>
    <dataValidation type="list" allowBlank="1" sqref="D6:D8 D20:D29 D10:D18" xr:uid="{00000000-0002-0000-0E00-000002000000}">
      <formula1>"Intermediate,Advanced,Expert,Research-Level"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2A04DD7-40F1-42A0-B6E4-41688528912A}">
            <x14:dataBar axisPosition="none">
              <x14:cfvo type="num">
                <xm:f>0</xm:f>
              </x14:cfvo>
              <x14:cfvo type="num">
                <xm:f>100</xm:f>
              </x14:cfvo>
              <x14:negativeFillColor rgb="FF8FC1E9"/>
            </x14:dataBar>
          </x14:cfRule>
          <xm:sqref>Q3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91"/>
  <sheetViews>
    <sheetView showGridLines="0" tabSelected="1" zoomScaleNormal="100" workbookViewId="0">
      <pane ySplit="4" topLeftCell="A33" activePane="bottomLeft" state="frozen"/>
      <selection pane="bottomLeft" activeCell="G8" sqref="G8"/>
    </sheetView>
  </sheetViews>
  <sheetFormatPr defaultColWidth="8.6640625" defaultRowHeight="14.4" x14ac:dyDescent="0.3"/>
  <cols>
    <col min="1" max="1" width="42" customWidth="1"/>
    <col min="2" max="2" width="24" customWidth="1"/>
    <col min="3" max="3" width="7" customWidth="1"/>
    <col min="4" max="4" width="12" customWidth="1"/>
    <col min="5" max="5" width="22" customWidth="1"/>
    <col min="6" max="6" width="8" customWidth="1"/>
    <col min="7" max="7" width="11" customWidth="1"/>
    <col min="8" max="8" width="46" customWidth="1"/>
    <col min="9" max="9" width="26" customWidth="1"/>
    <col min="10" max="10" width="13" customWidth="1"/>
    <col min="11" max="11" width="10" customWidth="1"/>
  </cols>
  <sheetData>
    <row r="1" spans="1:11" ht="33.75" customHeight="1" x14ac:dyDescent="0.3">
      <c r="A1" s="19" t="s">
        <v>21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ht="15" customHeight="1" x14ac:dyDescent="0.3">
      <c r="A2" s="20" t="s">
        <v>2333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1" ht="15" customHeight="1" x14ac:dyDescent="0.3">
      <c r="A3" s="21" t="s">
        <v>2334</v>
      </c>
      <c r="B3" s="21"/>
      <c r="C3" s="21"/>
      <c r="D3" s="21"/>
      <c r="E3" s="21"/>
      <c r="F3" s="21"/>
      <c r="G3" s="21"/>
      <c r="H3" s="21"/>
      <c r="I3" s="21"/>
      <c r="J3" s="21"/>
      <c r="K3" s="12">
        <f>ROUND(COUNTIF(F5:F91,TRUE())/72*100,0)</f>
        <v>4</v>
      </c>
    </row>
    <row r="4" spans="1:11" ht="31.5" customHeight="1" x14ac:dyDescent="0.3">
      <c r="A4" s="1" t="s">
        <v>2335</v>
      </c>
      <c r="B4" s="1" t="s">
        <v>2336</v>
      </c>
      <c r="C4" s="1" t="s">
        <v>2337</v>
      </c>
      <c r="D4" s="1" t="s">
        <v>59</v>
      </c>
      <c r="E4" s="1" t="s">
        <v>2338</v>
      </c>
      <c r="F4" s="1" t="s">
        <v>2339</v>
      </c>
      <c r="G4" s="1" t="s">
        <v>2340</v>
      </c>
      <c r="H4" s="1" t="s">
        <v>2341</v>
      </c>
      <c r="I4" s="1" t="s">
        <v>2342</v>
      </c>
      <c r="J4" s="1" t="s">
        <v>2343</v>
      </c>
      <c r="K4" s="1" t="s">
        <v>2344</v>
      </c>
    </row>
    <row r="5" spans="1:11" ht="19.5" customHeight="1" x14ac:dyDescent="0.3">
      <c r="A5" s="18" t="s">
        <v>2345</v>
      </c>
      <c r="B5" s="18"/>
      <c r="C5" s="18"/>
      <c r="D5" s="18"/>
      <c r="E5" s="18"/>
      <c r="F5" s="18"/>
      <c r="G5" s="18"/>
      <c r="H5" s="18"/>
      <c r="I5" s="18"/>
      <c r="J5" s="18"/>
      <c r="K5" s="18"/>
    </row>
    <row r="6" spans="1:11" ht="33.75" customHeight="1" x14ac:dyDescent="0.3">
      <c r="A6" s="6" t="s">
        <v>2346</v>
      </c>
      <c r="B6" s="2" t="s">
        <v>2347</v>
      </c>
      <c r="C6" s="2">
        <v>2017</v>
      </c>
      <c r="D6" s="2" t="s">
        <v>76</v>
      </c>
      <c r="E6" s="2" t="s">
        <v>2345</v>
      </c>
      <c r="F6" s="2" t="b">
        <v>1</v>
      </c>
      <c r="G6" s="2" t="b">
        <f>FALSE()</f>
        <v>0</v>
      </c>
      <c r="H6" s="6" t="s">
        <v>2348</v>
      </c>
      <c r="I6" s="2" t="s">
        <v>2349</v>
      </c>
      <c r="J6" s="2" t="s">
        <v>2350</v>
      </c>
      <c r="K6" s="2" t="s">
        <v>2351</v>
      </c>
    </row>
    <row r="7" spans="1:11" ht="33.75" customHeight="1" x14ac:dyDescent="0.3">
      <c r="A7" s="7" t="s">
        <v>2352</v>
      </c>
      <c r="B7" s="4" t="s">
        <v>2353</v>
      </c>
      <c r="C7" s="4">
        <v>2018</v>
      </c>
      <c r="D7" s="4" t="s">
        <v>76</v>
      </c>
      <c r="E7" s="4" t="s">
        <v>2345</v>
      </c>
      <c r="F7" s="4" t="b">
        <v>1</v>
      </c>
      <c r="G7" s="4" t="b">
        <v>1</v>
      </c>
      <c r="H7" s="7" t="s">
        <v>2354</v>
      </c>
      <c r="I7" s="4" t="s">
        <v>2355</v>
      </c>
      <c r="J7" s="4" t="s">
        <v>2350</v>
      </c>
      <c r="K7" s="4" t="s">
        <v>2356</v>
      </c>
    </row>
    <row r="8" spans="1:11" ht="33.75" customHeight="1" x14ac:dyDescent="0.3">
      <c r="A8" s="6" t="s">
        <v>2357</v>
      </c>
      <c r="B8" s="2" t="s">
        <v>2358</v>
      </c>
      <c r="C8" s="2">
        <v>2018</v>
      </c>
      <c r="D8" s="2" t="s">
        <v>76</v>
      </c>
      <c r="E8" s="2" t="s">
        <v>2345</v>
      </c>
      <c r="F8" s="2" t="b">
        <v>1</v>
      </c>
      <c r="G8" s="2" t="b">
        <v>1</v>
      </c>
      <c r="H8" s="6" t="s">
        <v>2359</v>
      </c>
      <c r="I8" s="2" t="s">
        <v>103</v>
      </c>
      <c r="J8" s="2" t="s">
        <v>2350</v>
      </c>
      <c r="K8" s="2" t="s">
        <v>2351</v>
      </c>
    </row>
    <row r="9" spans="1:11" ht="33.75" customHeight="1" x14ac:dyDescent="0.3">
      <c r="A9" s="7" t="s">
        <v>2360</v>
      </c>
      <c r="B9" s="4" t="s">
        <v>2361</v>
      </c>
      <c r="C9" s="4">
        <v>2019</v>
      </c>
      <c r="D9" s="4" t="s">
        <v>76</v>
      </c>
      <c r="E9" s="4" t="s">
        <v>2345</v>
      </c>
      <c r="F9" s="4" t="b">
        <f>FALSE()</f>
        <v>0</v>
      </c>
      <c r="G9" s="4" t="b">
        <f>FALSE()</f>
        <v>0</v>
      </c>
      <c r="H9" s="7" t="s">
        <v>2362</v>
      </c>
      <c r="I9" s="4" t="s">
        <v>2363</v>
      </c>
      <c r="J9" s="4" t="s">
        <v>2350</v>
      </c>
      <c r="K9" s="4" t="s">
        <v>2351</v>
      </c>
    </row>
    <row r="10" spans="1:11" ht="33.75" customHeight="1" x14ac:dyDescent="0.3">
      <c r="A10" s="6" t="s">
        <v>2364</v>
      </c>
      <c r="B10" s="2" t="s">
        <v>2365</v>
      </c>
      <c r="C10" s="2">
        <v>2020</v>
      </c>
      <c r="D10" s="2" t="s">
        <v>76</v>
      </c>
      <c r="E10" s="2" t="s">
        <v>2345</v>
      </c>
      <c r="F10" s="2" t="b">
        <f>FALSE()</f>
        <v>0</v>
      </c>
      <c r="G10" s="2" t="b">
        <f>FALSE()</f>
        <v>0</v>
      </c>
      <c r="H10" s="6" t="s">
        <v>2366</v>
      </c>
      <c r="I10" s="2" t="s">
        <v>103</v>
      </c>
      <c r="J10" s="2" t="s">
        <v>2350</v>
      </c>
      <c r="K10" s="2" t="s">
        <v>2351</v>
      </c>
    </row>
    <row r="11" spans="1:11" ht="33.75" customHeight="1" x14ac:dyDescent="0.3">
      <c r="A11" s="7" t="s">
        <v>2367</v>
      </c>
      <c r="B11" s="4" t="s">
        <v>2368</v>
      </c>
      <c r="C11" s="4">
        <v>2023</v>
      </c>
      <c r="D11" s="4" t="s">
        <v>76</v>
      </c>
      <c r="E11" s="4" t="s">
        <v>2345</v>
      </c>
      <c r="F11" s="4" t="b">
        <f>FALSE()</f>
        <v>0</v>
      </c>
      <c r="G11" s="4" t="b">
        <f>FALSE()</f>
        <v>0</v>
      </c>
      <c r="H11" s="7" t="s">
        <v>2369</v>
      </c>
      <c r="I11" s="4" t="s">
        <v>2370</v>
      </c>
      <c r="J11" s="4" t="s">
        <v>2350</v>
      </c>
      <c r="K11" s="4" t="s">
        <v>2351</v>
      </c>
    </row>
    <row r="12" spans="1:11" ht="33.75" customHeight="1" x14ac:dyDescent="0.3">
      <c r="A12" s="6" t="s">
        <v>2371</v>
      </c>
      <c r="B12" s="2" t="s">
        <v>2372</v>
      </c>
      <c r="C12" s="2">
        <v>2022</v>
      </c>
      <c r="D12" s="2" t="s">
        <v>76</v>
      </c>
      <c r="E12" s="2" t="s">
        <v>2345</v>
      </c>
      <c r="F12" s="2" t="b">
        <f>FALSE()</f>
        <v>0</v>
      </c>
      <c r="G12" s="2" t="b">
        <f>FALSE()</f>
        <v>0</v>
      </c>
      <c r="H12" s="6" t="s">
        <v>2373</v>
      </c>
      <c r="I12" s="2" t="s">
        <v>103</v>
      </c>
      <c r="J12" s="2" t="s">
        <v>2374</v>
      </c>
      <c r="K12" s="2" t="s">
        <v>2356</v>
      </c>
    </row>
    <row r="13" spans="1:11" ht="33.75" customHeight="1" x14ac:dyDescent="0.3">
      <c r="A13" s="7" t="s">
        <v>2375</v>
      </c>
      <c r="B13" s="4" t="s">
        <v>2376</v>
      </c>
      <c r="C13" s="4">
        <v>2022</v>
      </c>
      <c r="D13" s="4" t="s">
        <v>138</v>
      </c>
      <c r="E13" s="4" t="s">
        <v>2345</v>
      </c>
      <c r="F13" s="4" t="b">
        <f>FALSE()</f>
        <v>0</v>
      </c>
      <c r="G13" s="4" t="b">
        <f>FALSE()</f>
        <v>0</v>
      </c>
      <c r="H13" s="7" t="s">
        <v>2377</v>
      </c>
      <c r="I13" s="4" t="s">
        <v>103</v>
      </c>
      <c r="J13" s="4" t="s">
        <v>2350</v>
      </c>
      <c r="K13" s="4" t="s">
        <v>2351</v>
      </c>
    </row>
    <row r="14" spans="1:11" ht="19.5" customHeight="1" x14ac:dyDescent="0.3">
      <c r="A14" s="18" t="s">
        <v>2378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</row>
    <row r="15" spans="1:11" ht="33.75" customHeight="1" x14ac:dyDescent="0.3">
      <c r="A15" s="6" t="s">
        <v>2379</v>
      </c>
      <c r="B15" s="2" t="s">
        <v>2380</v>
      </c>
      <c r="C15" s="2">
        <v>2022</v>
      </c>
      <c r="D15" s="2" t="s">
        <v>138</v>
      </c>
      <c r="E15" s="2" t="s">
        <v>2378</v>
      </c>
      <c r="F15" s="2" t="b">
        <f>FALSE()</f>
        <v>0</v>
      </c>
      <c r="G15" s="2" t="b">
        <f>FALSE()</f>
        <v>0</v>
      </c>
      <c r="H15" s="6" t="s">
        <v>2381</v>
      </c>
      <c r="I15" s="2" t="s">
        <v>1617</v>
      </c>
      <c r="J15" s="2" t="s">
        <v>2350</v>
      </c>
      <c r="K15" s="2" t="s">
        <v>2351</v>
      </c>
    </row>
    <row r="16" spans="1:11" ht="33.75" customHeight="1" x14ac:dyDescent="0.3">
      <c r="A16" s="7" t="s">
        <v>2382</v>
      </c>
      <c r="B16" s="4" t="s">
        <v>2383</v>
      </c>
      <c r="C16" s="4">
        <v>2023</v>
      </c>
      <c r="D16" s="4" t="s">
        <v>138</v>
      </c>
      <c r="E16" s="4" t="s">
        <v>2378</v>
      </c>
      <c r="F16" s="4" t="b">
        <f>FALSE()</f>
        <v>0</v>
      </c>
      <c r="G16" s="4" t="b">
        <f>FALSE()</f>
        <v>0</v>
      </c>
      <c r="H16" s="7" t="s">
        <v>2384</v>
      </c>
      <c r="I16" s="4" t="s">
        <v>1617</v>
      </c>
      <c r="J16" s="4" t="s">
        <v>2374</v>
      </c>
      <c r="K16" s="4" t="s">
        <v>2351</v>
      </c>
    </row>
    <row r="17" spans="1:11" ht="33.75" customHeight="1" x14ac:dyDescent="0.3">
      <c r="A17" s="6" t="s">
        <v>2385</v>
      </c>
      <c r="B17" s="2" t="s">
        <v>2386</v>
      </c>
      <c r="C17" s="2">
        <v>2023</v>
      </c>
      <c r="D17" s="2" t="s">
        <v>138</v>
      </c>
      <c r="E17" s="2" t="s">
        <v>2378</v>
      </c>
      <c r="F17" s="2" t="b">
        <f>FALSE()</f>
        <v>0</v>
      </c>
      <c r="G17" s="2" t="b">
        <f>FALSE()</f>
        <v>0</v>
      </c>
      <c r="H17" s="6" t="s">
        <v>2387</v>
      </c>
      <c r="I17" s="2" t="s">
        <v>2388</v>
      </c>
      <c r="J17" s="2" t="s">
        <v>2350</v>
      </c>
      <c r="K17" s="2" t="s">
        <v>2351</v>
      </c>
    </row>
    <row r="18" spans="1:11" ht="33.75" customHeight="1" x14ac:dyDescent="0.3">
      <c r="A18" s="7" t="s">
        <v>2389</v>
      </c>
      <c r="B18" s="4" t="s">
        <v>2390</v>
      </c>
      <c r="C18" s="4">
        <v>2023</v>
      </c>
      <c r="D18" s="4" t="s">
        <v>76</v>
      </c>
      <c r="E18" s="4" t="s">
        <v>2378</v>
      </c>
      <c r="F18" s="4" t="b">
        <f>FALSE()</f>
        <v>0</v>
      </c>
      <c r="G18" s="4" t="b">
        <f>FALSE()</f>
        <v>0</v>
      </c>
      <c r="H18" s="7" t="s">
        <v>2391</v>
      </c>
      <c r="I18" s="4" t="s">
        <v>103</v>
      </c>
      <c r="J18" s="4" t="s">
        <v>2374</v>
      </c>
      <c r="K18" s="4" t="s">
        <v>2356</v>
      </c>
    </row>
    <row r="19" spans="1:11" ht="33.75" customHeight="1" x14ac:dyDescent="0.3">
      <c r="A19" s="6" t="s">
        <v>2392</v>
      </c>
      <c r="B19" s="2" t="s">
        <v>2393</v>
      </c>
      <c r="C19" s="2">
        <v>2021</v>
      </c>
      <c r="D19" s="2" t="s">
        <v>138</v>
      </c>
      <c r="E19" s="2" t="s">
        <v>2378</v>
      </c>
      <c r="F19" s="2" t="b">
        <f>FALSE()</f>
        <v>0</v>
      </c>
      <c r="G19" s="2" t="b">
        <f>FALSE()</f>
        <v>0</v>
      </c>
      <c r="H19" s="6" t="s">
        <v>2394</v>
      </c>
      <c r="I19" s="2" t="s">
        <v>2395</v>
      </c>
      <c r="J19" s="2" t="s">
        <v>2350</v>
      </c>
      <c r="K19" s="2" t="s">
        <v>2351</v>
      </c>
    </row>
    <row r="20" spans="1:11" ht="33.75" customHeight="1" x14ac:dyDescent="0.3">
      <c r="A20" s="7" t="s">
        <v>2396</v>
      </c>
      <c r="B20" s="4" t="s">
        <v>2397</v>
      </c>
      <c r="C20" s="4">
        <v>2021</v>
      </c>
      <c r="D20" s="4" t="s">
        <v>76</v>
      </c>
      <c r="E20" s="4" t="s">
        <v>2378</v>
      </c>
      <c r="F20" s="4" t="b">
        <f>FALSE()</f>
        <v>0</v>
      </c>
      <c r="G20" s="4" t="b">
        <f>FALSE()</f>
        <v>0</v>
      </c>
      <c r="H20" s="7" t="s">
        <v>2398</v>
      </c>
      <c r="I20" s="4" t="s">
        <v>2399</v>
      </c>
      <c r="J20" s="4" t="s">
        <v>2374</v>
      </c>
      <c r="K20" s="4" t="s">
        <v>2400</v>
      </c>
    </row>
    <row r="21" spans="1:11" ht="33.75" customHeight="1" x14ac:dyDescent="0.3">
      <c r="A21" s="6" t="s">
        <v>2401</v>
      </c>
      <c r="B21" s="2" t="s">
        <v>2402</v>
      </c>
      <c r="C21" s="2">
        <v>2022</v>
      </c>
      <c r="D21" s="2" t="s">
        <v>138</v>
      </c>
      <c r="E21" s="2" t="s">
        <v>2378</v>
      </c>
      <c r="F21" s="2" t="b">
        <f>FALSE()</f>
        <v>0</v>
      </c>
      <c r="G21" s="2" t="b">
        <f>FALSE()</f>
        <v>0</v>
      </c>
      <c r="H21" s="6" t="s">
        <v>2403</v>
      </c>
      <c r="I21" s="2" t="s">
        <v>103</v>
      </c>
      <c r="J21" s="2" t="s">
        <v>2374</v>
      </c>
      <c r="K21" s="2" t="s">
        <v>2356</v>
      </c>
    </row>
    <row r="22" spans="1:11" ht="19.5" customHeight="1" x14ac:dyDescent="0.3">
      <c r="A22" s="18" t="s">
        <v>2404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</row>
    <row r="23" spans="1:11" ht="33.75" customHeight="1" x14ac:dyDescent="0.3">
      <c r="A23" s="7" t="s">
        <v>2405</v>
      </c>
      <c r="B23" s="4" t="s">
        <v>2406</v>
      </c>
      <c r="C23" s="4">
        <v>2021</v>
      </c>
      <c r="D23" s="4" t="s">
        <v>76</v>
      </c>
      <c r="E23" s="4" t="s">
        <v>2404</v>
      </c>
      <c r="F23" s="4" t="b">
        <f>FALSE()</f>
        <v>0</v>
      </c>
      <c r="G23" s="4" t="b">
        <f>FALSE()</f>
        <v>0</v>
      </c>
      <c r="H23" s="7" t="s">
        <v>2407</v>
      </c>
      <c r="I23" s="4" t="s">
        <v>2408</v>
      </c>
      <c r="J23" s="4" t="s">
        <v>2350</v>
      </c>
      <c r="K23" s="4" t="s">
        <v>2351</v>
      </c>
    </row>
    <row r="24" spans="1:11" ht="33.75" customHeight="1" x14ac:dyDescent="0.3">
      <c r="A24" s="6" t="s">
        <v>2409</v>
      </c>
      <c r="B24" s="2" t="s">
        <v>2410</v>
      </c>
      <c r="C24" s="2">
        <v>2023</v>
      </c>
      <c r="D24" s="2" t="s">
        <v>138</v>
      </c>
      <c r="E24" s="2" t="s">
        <v>2404</v>
      </c>
      <c r="F24" s="2" t="b">
        <f>FALSE()</f>
        <v>0</v>
      </c>
      <c r="G24" s="2" t="b">
        <f>FALSE()</f>
        <v>0</v>
      </c>
      <c r="H24" s="6" t="s">
        <v>2411</v>
      </c>
      <c r="I24" s="2" t="s">
        <v>2412</v>
      </c>
      <c r="J24" s="2" t="s">
        <v>2350</v>
      </c>
      <c r="K24" s="2" t="s">
        <v>2351</v>
      </c>
    </row>
    <row r="25" spans="1:11" ht="33.75" customHeight="1" x14ac:dyDescent="0.3">
      <c r="A25" s="7" t="s">
        <v>2413</v>
      </c>
      <c r="B25" s="4" t="s">
        <v>2414</v>
      </c>
      <c r="C25" s="4">
        <v>2021</v>
      </c>
      <c r="D25" s="4" t="s">
        <v>76</v>
      </c>
      <c r="E25" s="4" t="s">
        <v>2404</v>
      </c>
      <c r="F25" s="4" t="b">
        <f>FALSE()</f>
        <v>0</v>
      </c>
      <c r="G25" s="4" t="b">
        <f>FALSE()</f>
        <v>0</v>
      </c>
      <c r="H25" s="7" t="s">
        <v>2415</v>
      </c>
      <c r="I25" s="4" t="s">
        <v>2416</v>
      </c>
      <c r="J25" s="4" t="s">
        <v>2374</v>
      </c>
      <c r="K25" s="4" t="s">
        <v>2400</v>
      </c>
    </row>
    <row r="26" spans="1:11" ht="33.75" customHeight="1" x14ac:dyDescent="0.3">
      <c r="A26" s="6" t="s">
        <v>2417</v>
      </c>
      <c r="B26" s="2" t="s">
        <v>2418</v>
      </c>
      <c r="C26" s="2">
        <v>2021</v>
      </c>
      <c r="D26" s="2" t="s">
        <v>76</v>
      </c>
      <c r="E26" s="2" t="s">
        <v>2404</v>
      </c>
      <c r="F26" s="2" t="b">
        <f>FALSE()</f>
        <v>0</v>
      </c>
      <c r="G26" s="2" t="b">
        <f>FALSE()</f>
        <v>0</v>
      </c>
      <c r="H26" s="6" t="s">
        <v>2419</v>
      </c>
      <c r="I26" s="2" t="s">
        <v>103</v>
      </c>
      <c r="J26" s="2" t="s">
        <v>2420</v>
      </c>
      <c r="K26" s="2" t="s">
        <v>2400</v>
      </c>
    </row>
    <row r="27" spans="1:11" ht="33.75" customHeight="1" x14ac:dyDescent="0.3">
      <c r="A27" s="7" t="s">
        <v>2421</v>
      </c>
      <c r="B27" s="4" t="s">
        <v>2422</v>
      </c>
      <c r="C27" s="4">
        <v>2023</v>
      </c>
      <c r="D27" s="4" t="s">
        <v>76</v>
      </c>
      <c r="E27" s="4" t="s">
        <v>2404</v>
      </c>
      <c r="F27" s="4" t="b">
        <f>FALSE()</f>
        <v>0</v>
      </c>
      <c r="G27" s="4" t="b">
        <f>FALSE()</f>
        <v>0</v>
      </c>
      <c r="H27" s="7" t="s">
        <v>2423</v>
      </c>
      <c r="I27" s="4" t="s">
        <v>103</v>
      </c>
      <c r="J27" s="4" t="s">
        <v>2374</v>
      </c>
      <c r="K27" s="4" t="s">
        <v>2356</v>
      </c>
    </row>
    <row r="28" spans="1:11" ht="19.5" customHeight="1" x14ac:dyDescent="0.3">
      <c r="A28" s="18" t="s">
        <v>2424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</row>
    <row r="29" spans="1:11" ht="33.75" customHeight="1" x14ac:dyDescent="0.3">
      <c r="A29" s="6" t="s">
        <v>2425</v>
      </c>
      <c r="B29" s="2" t="s">
        <v>2426</v>
      </c>
      <c r="C29" s="2">
        <v>2022</v>
      </c>
      <c r="D29" s="2" t="s">
        <v>138</v>
      </c>
      <c r="E29" s="2" t="s">
        <v>2424</v>
      </c>
      <c r="F29" s="2" t="b">
        <f>FALSE()</f>
        <v>0</v>
      </c>
      <c r="G29" s="2" t="b">
        <f>FALSE()</f>
        <v>0</v>
      </c>
      <c r="H29" s="6" t="s">
        <v>2427</v>
      </c>
      <c r="I29" s="2" t="s">
        <v>103</v>
      </c>
      <c r="J29" s="2" t="s">
        <v>2350</v>
      </c>
      <c r="K29" s="2" t="s">
        <v>2351</v>
      </c>
    </row>
    <row r="30" spans="1:11" ht="33.75" customHeight="1" x14ac:dyDescent="0.3">
      <c r="A30" s="7" t="s">
        <v>2428</v>
      </c>
      <c r="B30" s="4" t="s">
        <v>2429</v>
      </c>
      <c r="C30" s="4">
        <v>2023</v>
      </c>
      <c r="D30" s="4" t="s">
        <v>138</v>
      </c>
      <c r="E30" s="4" t="s">
        <v>2424</v>
      </c>
      <c r="F30" s="4" t="b">
        <f>FALSE()</f>
        <v>0</v>
      </c>
      <c r="G30" s="4" t="b">
        <f>FALSE()</f>
        <v>0</v>
      </c>
      <c r="H30" s="7" t="s">
        <v>2430</v>
      </c>
      <c r="I30" s="4" t="s">
        <v>2431</v>
      </c>
      <c r="J30" s="4" t="s">
        <v>2350</v>
      </c>
      <c r="K30" s="4" t="s">
        <v>2351</v>
      </c>
    </row>
    <row r="31" spans="1:11" ht="33.75" customHeight="1" x14ac:dyDescent="0.3">
      <c r="A31" s="6" t="s">
        <v>2432</v>
      </c>
      <c r="B31" s="2" t="s">
        <v>2433</v>
      </c>
      <c r="C31" s="2">
        <v>2017</v>
      </c>
      <c r="D31" s="2" t="s">
        <v>138</v>
      </c>
      <c r="E31" s="2" t="s">
        <v>2424</v>
      </c>
      <c r="F31" s="2" t="b">
        <f>FALSE()</f>
        <v>0</v>
      </c>
      <c r="G31" s="2" t="b">
        <f>FALSE()</f>
        <v>0</v>
      </c>
      <c r="H31" s="6" t="s">
        <v>2434</v>
      </c>
      <c r="I31" s="2" t="s">
        <v>103</v>
      </c>
      <c r="J31" s="2" t="s">
        <v>2350</v>
      </c>
      <c r="K31" s="2" t="s">
        <v>2356</v>
      </c>
    </row>
    <row r="32" spans="1:11" ht="33.75" customHeight="1" x14ac:dyDescent="0.3">
      <c r="A32" s="7" t="s">
        <v>2435</v>
      </c>
      <c r="B32" s="4" t="s">
        <v>2436</v>
      </c>
      <c r="C32" s="4">
        <v>2022</v>
      </c>
      <c r="D32" s="4" t="s">
        <v>138</v>
      </c>
      <c r="E32" s="4" t="s">
        <v>2424</v>
      </c>
      <c r="F32" s="4" t="b">
        <f>FALSE()</f>
        <v>0</v>
      </c>
      <c r="G32" s="4" t="b">
        <f>FALSE()</f>
        <v>0</v>
      </c>
      <c r="H32" s="7" t="s">
        <v>2437</v>
      </c>
      <c r="I32" s="4" t="s">
        <v>103</v>
      </c>
      <c r="J32" s="4" t="s">
        <v>2350</v>
      </c>
      <c r="K32" s="4" t="s">
        <v>2351</v>
      </c>
    </row>
    <row r="33" spans="1:11" ht="33.75" customHeight="1" x14ac:dyDescent="0.3">
      <c r="A33" s="6" t="s">
        <v>2438</v>
      </c>
      <c r="B33" s="2" t="s">
        <v>2439</v>
      </c>
      <c r="C33" s="2">
        <v>2024</v>
      </c>
      <c r="D33" s="2" t="s">
        <v>138</v>
      </c>
      <c r="E33" s="2" t="s">
        <v>2424</v>
      </c>
      <c r="F33" s="2" t="b">
        <f>FALSE()</f>
        <v>0</v>
      </c>
      <c r="G33" s="2" t="b">
        <f>FALSE()</f>
        <v>0</v>
      </c>
      <c r="H33" s="6" t="s">
        <v>2440</v>
      </c>
      <c r="I33" s="2" t="s">
        <v>2441</v>
      </c>
      <c r="J33" s="2" t="s">
        <v>2350</v>
      </c>
      <c r="K33" s="2" t="s">
        <v>2351</v>
      </c>
    </row>
    <row r="34" spans="1:11" ht="33.75" customHeight="1" x14ac:dyDescent="0.3">
      <c r="A34" s="7" t="s">
        <v>2442</v>
      </c>
      <c r="B34" s="4" t="s">
        <v>2443</v>
      </c>
      <c r="C34" s="4">
        <v>2022</v>
      </c>
      <c r="D34" s="4" t="s">
        <v>138</v>
      </c>
      <c r="E34" s="4" t="s">
        <v>2424</v>
      </c>
      <c r="F34" s="4" t="b">
        <f>FALSE()</f>
        <v>0</v>
      </c>
      <c r="G34" s="4" t="b">
        <f>FALSE()</f>
        <v>0</v>
      </c>
      <c r="H34" s="7" t="s">
        <v>2444</v>
      </c>
      <c r="I34" s="4" t="s">
        <v>103</v>
      </c>
      <c r="J34" s="4" t="s">
        <v>2374</v>
      </c>
      <c r="K34" s="4" t="s">
        <v>2356</v>
      </c>
    </row>
    <row r="35" spans="1:11" ht="19.5" customHeight="1" x14ac:dyDescent="0.3">
      <c r="A35" s="18" t="s">
        <v>2445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</row>
    <row r="36" spans="1:11" ht="33.75" customHeight="1" x14ac:dyDescent="0.3">
      <c r="A36" s="6" t="s">
        <v>2446</v>
      </c>
      <c r="B36" s="2" t="s">
        <v>2447</v>
      </c>
      <c r="C36" s="2">
        <v>2020</v>
      </c>
      <c r="D36" s="2" t="s">
        <v>138</v>
      </c>
      <c r="E36" s="2" t="s">
        <v>2445</v>
      </c>
      <c r="F36" s="2" t="b">
        <f>FALSE()</f>
        <v>0</v>
      </c>
      <c r="G36" s="2" t="b">
        <f>FALSE()</f>
        <v>0</v>
      </c>
      <c r="H36" s="6" t="s">
        <v>2448</v>
      </c>
      <c r="I36" s="2" t="s">
        <v>103</v>
      </c>
      <c r="J36" s="2" t="s">
        <v>2350</v>
      </c>
      <c r="K36" s="2" t="s">
        <v>2351</v>
      </c>
    </row>
    <row r="37" spans="1:11" ht="33.75" customHeight="1" x14ac:dyDescent="0.3">
      <c r="A37" s="7" t="s">
        <v>2449</v>
      </c>
      <c r="B37" s="4" t="s">
        <v>2376</v>
      </c>
      <c r="C37" s="4">
        <v>2022</v>
      </c>
      <c r="D37" s="4" t="s">
        <v>138</v>
      </c>
      <c r="E37" s="4" t="s">
        <v>2445</v>
      </c>
      <c r="F37" s="4" t="b">
        <f>FALSE()</f>
        <v>0</v>
      </c>
      <c r="G37" s="4" t="b">
        <f>FALSE()</f>
        <v>0</v>
      </c>
      <c r="H37" s="7" t="s">
        <v>2450</v>
      </c>
      <c r="I37" s="4" t="s">
        <v>103</v>
      </c>
      <c r="J37" s="4" t="s">
        <v>2350</v>
      </c>
      <c r="K37" s="4" t="s">
        <v>2351</v>
      </c>
    </row>
    <row r="38" spans="1:11" ht="33.75" customHeight="1" x14ac:dyDescent="0.3">
      <c r="A38" s="6" t="s">
        <v>2451</v>
      </c>
      <c r="B38" s="2" t="s">
        <v>2452</v>
      </c>
      <c r="C38" s="2">
        <v>2017</v>
      </c>
      <c r="D38" s="2" t="s">
        <v>76</v>
      </c>
      <c r="E38" s="2" t="s">
        <v>2445</v>
      </c>
      <c r="F38" s="2" t="b">
        <f>FALSE()</f>
        <v>0</v>
      </c>
      <c r="G38" s="2" t="b">
        <f>FALSE()</f>
        <v>0</v>
      </c>
      <c r="H38" s="6" t="s">
        <v>2453</v>
      </c>
      <c r="I38" s="2" t="s">
        <v>103</v>
      </c>
      <c r="J38" s="2" t="s">
        <v>2420</v>
      </c>
      <c r="K38" s="2" t="s">
        <v>2400</v>
      </c>
    </row>
    <row r="39" spans="1:11" ht="33.75" customHeight="1" x14ac:dyDescent="0.3">
      <c r="A39" s="7" t="s">
        <v>2454</v>
      </c>
      <c r="B39" s="4" t="s">
        <v>2455</v>
      </c>
      <c r="C39" s="4">
        <v>2018</v>
      </c>
      <c r="D39" s="4" t="s">
        <v>138</v>
      </c>
      <c r="E39" s="4" t="s">
        <v>2445</v>
      </c>
      <c r="F39" s="4" t="b">
        <f>FALSE()</f>
        <v>0</v>
      </c>
      <c r="G39" s="4" t="b">
        <f>FALSE()</f>
        <v>0</v>
      </c>
      <c r="H39" s="7" t="s">
        <v>2456</v>
      </c>
      <c r="I39" s="4" t="s">
        <v>103</v>
      </c>
      <c r="J39" s="4" t="s">
        <v>2374</v>
      </c>
      <c r="K39" s="4" t="s">
        <v>2356</v>
      </c>
    </row>
    <row r="40" spans="1:11" ht="19.5" customHeight="1" x14ac:dyDescent="0.3">
      <c r="A40" s="18" t="s">
        <v>2457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</row>
    <row r="41" spans="1:11" ht="33.75" customHeight="1" x14ac:dyDescent="0.3">
      <c r="A41" s="6" t="s">
        <v>2458</v>
      </c>
      <c r="B41" s="2" t="s">
        <v>2459</v>
      </c>
      <c r="C41" s="2">
        <v>2020</v>
      </c>
      <c r="D41" s="2" t="s">
        <v>76</v>
      </c>
      <c r="E41" s="2" t="s">
        <v>2457</v>
      </c>
      <c r="F41" s="2" t="b">
        <f>FALSE()</f>
        <v>0</v>
      </c>
      <c r="G41" s="2" t="b">
        <f>FALSE()</f>
        <v>0</v>
      </c>
      <c r="H41" s="6" t="s">
        <v>2460</v>
      </c>
      <c r="I41" s="2" t="s">
        <v>103</v>
      </c>
      <c r="J41" s="2" t="s">
        <v>2350</v>
      </c>
      <c r="K41" s="2" t="s">
        <v>2351</v>
      </c>
    </row>
    <row r="42" spans="1:11" ht="33.75" customHeight="1" x14ac:dyDescent="0.3">
      <c r="A42" s="7" t="s">
        <v>2461</v>
      </c>
      <c r="B42" s="4" t="s">
        <v>2462</v>
      </c>
      <c r="C42" s="4">
        <v>2020</v>
      </c>
      <c r="D42" s="4" t="s">
        <v>76</v>
      </c>
      <c r="E42" s="4" t="s">
        <v>2457</v>
      </c>
      <c r="F42" s="4" t="b">
        <f>FALSE()</f>
        <v>0</v>
      </c>
      <c r="G42" s="4" t="b">
        <f>FALSE()</f>
        <v>0</v>
      </c>
      <c r="H42" s="7" t="s">
        <v>2463</v>
      </c>
      <c r="I42" s="4" t="s">
        <v>2464</v>
      </c>
      <c r="J42" s="4" t="s">
        <v>2350</v>
      </c>
      <c r="K42" s="4" t="s">
        <v>2356</v>
      </c>
    </row>
    <row r="43" spans="1:11" ht="33.75" customHeight="1" x14ac:dyDescent="0.3">
      <c r="A43" s="6" t="s">
        <v>2465</v>
      </c>
      <c r="B43" s="2" t="s">
        <v>2466</v>
      </c>
      <c r="C43" s="2">
        <v>2019</v>
      </c>
      <c r="D43" s="2" t="s">
        <v>76</v>
      </c>
      <c r="E43" s="2" t="s">
        <v>2457</v>
      </c>
      <c r="F43" s="2" t="b">
        <f>FALSE()</f>
        <v>0</v>
      </c>
      <c r="G43" s="2" t="b">
        <f>FALSE()</f>
        <v>0</v>
      </c>
      <c r="H43" s="6" t="s">
        <v>2467</v>
      </c>
      <c r="I43" s="2" t="s">
        <v>2468</v>
      </c>
      <c r="J43" s="2" t="s">
        <v>2350</v>
      </c>
      <c r="K43" s="2" t="s">
        <v>2351</v>
      </c>
    </row>
    <row r="44" spans="1:11" ht="33.75" customHeight="1" x14ac:dyDescent="0.3">
      <c r="A44" s="7" t="s">
        <v>2469</v>
      </c>
      <c r="B44" s="4" t="s">
        <v>2470</v>
      </c>
      <c r="C44" s="4">
        <v>2016</v>
      </c>
      <c r="D44" s="4" t="s">
        <v>138</v>
      </c>
      <c r="E44" s="4" t="s">
        <v>2457</v>
      </c>
      <c r="F44" s="4" t="b">
        <f>FALSE()</f>
        <v>0</v>
      </c>
      <c r="G44" s="4" t="b">
        <f>FALSE()</f>
        <v>0</v>
      </c>
      <c r="H44" s="7" t="s">
        <v>2471</v>
      </c>
      <c r="I44" s="4" t="s">
        <v>2472</v>
      </c>
      <c r="J44" s="4" t="s">
        <v>2350</v>
      </c>
      <c r="K44" s="4" t="s">
        <v>2351</v>
      </c>
    </row>
    <row r="45" spans="1:11" ht="33.75" customHeight="1" x14ac:dyDescent="0.3">
      <c r="A45" s="6" t="s">
        <v>2473</v>
      </c>
      <c r="B45" s="2" t="s">
        <v>2474</v>
      </c>
      <c r="C45" s="2">
        <v>2023</v>
      </c>
      <c r="D45" s="2" t="s">
        <v>76</v>
      </c>
      <c r="E45" s="2" t="s">
        <v>2457</v>
      </c>
      <c r="F45" s="2" t="b">
        <f>FALSE()</f>
        <v>0</v>
      </c>
      <c r="G45" s="2" t="b">
        <f>FALSE()</f>
        <v>0</v>
      </c>
      <c r="H45" s="6" t="s">
        <v>2475</v>
      </c>
      <c r="I45" s="2" t="s">
        <v>103</v>
      </c>
      <c r="J45" s="2" t="s">
        <v>2374</v>
      </c>
      <c r="K45" s="2" t="s">
        <v>2356</v>
      </c>
    </row>
    <row r="46" spans="1:11" ht="19.5" customHeight="1" x14ac:dyDescent="0.3">
      <c r="A46" s="18" t="s">
        <v>2476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</row>
    <row r="47" spans="1:11" ht="33.75" customHeight="1" x14ac:dyDescent="0.3">
      <c r="A47" s="7" t="s">
        <v>2477</v>
      </c>
      <c r="B47" s="4" t="s">
        <v>2478</v>
      </c>
      <c r="C47" s="4">
        <v>2017</v>
      </c>
      <c r="D47" s="4" t="s">
        <v>138</v>
      </c>
      <c r="E47" s="4" t="s">
        <v>2476</v>
      </c>
      <c r="F47" s="4" t="b">
        <f>FALSE()</f>
        <v>0</v>
      </c>
      <c r="G47" s="4" t="b">
        <f>FALSE()</f>
        <v>0</v>
      </c>
      <c r="H47" s="7" t="s">
        <v>2479</v>
      </c>
      <c r="I47" s="4" t="s">
        <v>103</v>
      </c>
      <c r="J47" s="4" t="s">
        <v>2350</v>
      </c>
      <c r="K47" s="4" t="s">
        <v>2356</v>
      </c>
    </row>
    <row r="48" spans="1:11" ht="33.75" customHeight="1" x14ac:dyDescent="0.3">
      <c r="A48" s="6" t="s">
        <v>2480</v>
      </c>
      <c r="B48" s="2" t="s">
        <v>2481</v>
      </c>
      <c r="C48" s="2">
        <v>2021</v>
      </c>
      <c r="D48" s="2" t="s">
        <v>138</v>
      </c>
      <c r="E48" s="2" t="s">
        <v>2476</v>
      </c>
      <c r="F48" s="2" t="b">
        <f>FALSE()</f>
        <v>0</v>
      </c>
      <c r="G48" s="2" t="b">
        <f>FALSE()</f>
        <v>0</v>
      </c>
      <c r="H48" s="6" t="s">
        <v>2482</v>
      </c>
      <c r="I48" s="2" t="s">
        <v>2483</v>
      </c>
      <c r="J48" s="2" t="s">
        <v>2350</v>
      </c>
      <c r="K48" s="2" t="s">
        <v>2351</v>
      </c>
    </row>
    <row r="49" spans="1:11" ht="33.75" customHeight="1" x14ac:dyDescent="0.3">
      <c r="A49" s="7" t="s">
        <v>2484</v>
      </c>
      <c r="B49" s="4" t="s">
        <v>2485</v>
      </c>
      <c r="C49" s="4">
        <v>2024</v>
      </c>
      <c r="D49" s="4" t="s">
        <v>138</v>
      </c>
      <c r="E49" s="4" t="s">
        <v>2476</v>
      </c>
      <c r="F49" s="4" t="b">
        <f>FALSE()</f>
        <v>0</v>
      </c>
      <c r="G49" s="4" t="b">
        <f>FALSE()</f>
        <v>0</v>
      </c>
      <c r="H49" s="7" t="s">
        <v>2486</v>
      </c>
      <c r="I49" s="4" t="s">
        <v>2487</v>
      </c>
      <c r="J49" s="4" t="s">
        <v>2374</v>
      </c>
      <c r="K49" s="4" t="s">
        <v>2351</v>
      </c>
    </row>
    <row r="50" spans="1:11" ht="19.5" customHeight="1" x14ac:dyDescent="0.3">
      <c r="A50" s="18" t="s">
        <v>2236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</row>
    <row r="51" spans="1:11" ht="33.75" customHeight="1" x14ac:dyDescent="0.3">
      <c r="A51" s="6" t="s">
        <v>2488</v>
      </c>
      <c r="B51" s="2" t="s">
        <v>2489</v>
      </c>
      <c r="C51" s="2">
        <v>2019</v>
      </c>
      <c r="D51" s="2" t="s">
        <v>138</v>
      </c>
      <c r="E51" s="2" t="s">
        <v>2236</v>
      </c>
      <c r="F51" s="2" t="b">
        <f>FALSE()</f>
        <v>0</v>
      </c>
      <c r="G51" s="2" t="b">
        <f>FALSE()</f>
        <v>0</v>
      </c>
      <c r="H51" s="6" t="s">
        <v>2490</v>
      </c>
      <c r="I51" s="2" t="s">
        <v>2491</v>
      </c>
      <c r="J51" s="2" t="s">
        <v>2350</v>
      </c>
      <c r="K51" s="2" t="s">
        <v>2351</v>
      </c>
    </row>
    <row r="52" spans="1:11" ht="33.75" customHeight="1" x14ac:dyDescent="0.3">
      <c r="A52" s="7" t="s">
        <v>2492</v>
      </c>
      <c r="B52" s="4" t="s">
        <v>2493</v>
      </c>
      <c r="C52" s="4">
        <v>2019</v>
      </c>
      <c r="D52" s="4" t="s">
        <v>138</v>
      </c>
      <c r="E52" s="4" t="s">
        <v>2236</v>
      </c>
      <c r="F52" s="4" t="b">
        <f>FALSE()</f>
        <v>0</v>
      </c>
      <c r="G52" s="4" t="b">
        <f>FALSE()</f>
        <v>0</v>
      </c>
      <c r="H52" s="7" t="s">
        <v>2494</v>
      </c>
      <c r="I52" s="4" t="s">
        <v>103</v>
      </c>
      <c r="J52" s="4" t="s">
        <v>2350</v>
      </c>
      <c r="K52" s="4" t="s">
        <v>2356</v>
      </c>
    </row>
    <row r="53" spans="1:11" ht="33.75" customHeight="1" x14ac:dyDescent="0.3">
      <c r="A53" s="6" t="s">
        <v>2495</v>
      </c>
      <c r="B53" s="2" t="s">
        <v>2496</v>
      </c>
      <c r="C53" s="2">
        <v>2020</v>
      </c>
      <c r="D53" s="2" t="s">
        <v>138</v>
      </c>
      <c r="E53" s="2" t="s">
        <v>2236</v>
      </c>
      <c r="F53" s="2" t="b">
        <f>FALSE()</f>
        <v>0</v>
      </c>
      <c r="G53" s="2" t="b">
        <f>FALSE()</f>
        <v>0</v>
      </c>
      <c r="H53" s="6" t="s">
        <v>2497</v>
      </c>
      <c r="I53" s="2" t="s">
        <v>2498</v>
      </c>
      <c r="J53" s="2" t="s">
        <v>2350</v>
      </c>
      <c r="K53" s="2" t="s">
        <v>2351</v>
      </c>
    </row>
    <row r="54" spans="1:11" ht="33.75" customHeight="1" x14ac:dyDescent="0.3">
      <c r="A54" s="7" t="s">
        <v>2499</v>
      </c>
      <c r="B54" s="4" t="s">
        <v>2500</v>
      </c>
      <c r="C54" s="4">
        <v>2023</v>
      </c>
      <c r="D54" s="4" t="s">
        <v>138</v>
      </c>
      <c r="E54" s="4" t="s">
        <v>2236</v>
      </c>
      <c r="F54" s="4" t="b">
        <f>FALSE()</f>
        <v>0</v>
      </c>
      <c r="G54" s="4" t="b">
        <f>FALSE()</f>
        <v>0</v>
      </c>
      <c r="H54" s="7" t="s">
        <v>2501</v>
      </c>
      <c r="I54" s="4" t="s">
        <v>2502</v>
      </c>
      <c r="J54" s="4" t="s">
        <v>2374</v>
      </c>
      <c r="K54" s="4" t="s">
        <v>2356</v>
      </c>
    </row>
    <row r="55" spans="1:11" ht="33.75" customHeight="1" x14ac:dyDescent="0.3">
      <c r="A55" s="6" t="s">
        <v>2503</v>
      </c>
      <c r="B55" s="2" t="s">
        <v>2504</v>
      </c>
      <c r="C55" s="2">
        <v>2022</v>
      </c>
      <c r="D55" s="2" t="s">
        <v>138</v>
      </c>
      <c r="E55" s="2" t="s">
        <v>2236</v>
      </c>
      <c r="F55" s="2" t="b">
        <f>FALSE()</f>
        <v>0</v>
      </c>
      <c r="G55" s="2" t="b">
        <f>FALSE()</f>
        <v>0</v>
      </c>
      <c r="H55" s="6" t="s">
        <v>2505</v>
      </c>
      <c r="I55" s="2" t="s">
        <v>103</v>
      </c>
      <c r="J55" s="2" t="s">
        <v>2374</v>
      </c>
      <c r="K55" s="2" t="s">
        <v>2400</v>
      </c>
    </row>
    <row r="56" spans="1:11" ht="19.5" customHeight="1" x14ac:dyDescent="0.3">
      <c r="A56" s="18" t="s">
        <v>1756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</row>
    <row r="57" spans="1:11" ht="33.75" customHeight="1" x14ac:dyDescent="0.3">
      <c r="A57" s="7" t="s">
        <v>2506</v>
      </c>
      <c r="B57" s="4" t="s">
        <v>2507</v>
      </c>
      <c r="C57" s="4">
        <v>2022</v>
      </c>
      <c r="D57" s="4" t="s">
        <v>138</v>
      </c>
      <c r="E57" s="4" t="s">
        <v>1756</v>
      </c>
      <c r="F57" s="4" t="b">
        <f>FALSE()</f>
        <v>0</v>
      </c>
      <c r="G57" s="4" t="b">
        <f>FALSE()</f>
        <v>0</v>
      </c>
      <c r="H57" s="7" t="s">
        <v>2508</v>
      </c>
      <c r="I57" s="4" t="s">
        <v>2509</v>
      </c>
      <c r="J57" s="4" t="s">
        <v>2350</v>
      </c>
      <c r="K57" s="4" t="s">
        <v>2351</v>
      </c>
    </row>
    <row r="58" spans="1:11" ht="33.75" customHeight="1" x14ac:dyDescent="0.3">
      <c r="A58" s="6" t="s">
        <v>2510</v>
      </c>
      <c r="B58" s="2" t="s">
        <v>2511</v>
      </c>
      <c r="C58" s="2">
        <v>2023</v>
      </c>
      <c r="D58" s="2" t="s">
        <v>138</v>
      </c>
      <c r="E58" s="2" t="s">
        <v>1756</v>
      </c>
      <c r="F58" s="2" t="b">
        <f>FALSE()</f>
        <v>0</v>
      </c>
      <c r="G58" s="2" t="b">
        <f>FALSE()</f>
        <v>0</v>
      </c>
      <c r="H58" s="6" t="s">
        <v>2512</v>
      </c>
      <c r="I58" s="2" t="s">
        <v>2513</v>
      </c>
      <c r="J58" s="2" t="s">
        <v>2350</v>
      </c>
      <c r="K58" s="2" t="s">
        <v>2351</v>
      </c>
    </row>
    <row r="59" spans="1:11" ht="33.75" customHeight="1" x14ac:dyDescent="0.3">
      <c r="A59" s="7" t="s">
        <v>2514</v>
      </c>
      <c r="B59" s="4" t="s">
        <v>2515</v>
      </c>
      <c r="C59" s="4">
        <v>2022</v>
      </c>
      <c r="D59" s="4" t="s">
        <v>138</v>
      </c>
      <c r="E59" s="4" t="s">
        <v>1756</v>
      </c>
      <c r="F59" s="4" t="b">
        <f>FALSE()</f>
        <v>0</v>
      </c>
      <c r="G59" s="4" t="b">
        <f>FALSE()</f>
        <v>0</v>
      </c>
      <c r="H59" s="7" t="s">
        <v>2516</v>
      </c>
      <c r="I59" s="4" t="s">
        <v>2517</v>
      </c>
      <c r="J59" s="4" t="s">
        <v>2374</v>
      </c>
      <c r="K59" s="4" t="s">
        <v>2356</v>
      </c>
    </row>
    <row r="60" spans="1:11" ht="33.75" customHeight="1" x14ac:dyDescent="0.3">
      <c r="A60" s="6" t="s">
        <v>2518</v>
      </c>
      <c r="B60" s="2" t="s">
        <v>2519</v>
      </c>
      <c r="C60" s="2">
        <v>2022</v>
      </c>
      <c r="D60" s="2" t="s">
        <v>138</v>
      </c>
      <c r="E60" s="2" t="s">
        <v>1756</v>
      </c>
      <c r="F60" s="2" t="b">
        <f>FALSE()</f>
        <v>0</v>
      </c>
      <c r="G60" s="2" t="b">
        <f>FALSE()</f>
        <v>0</v>
      </c>
      <c r="H60" s="6" t="s">
        <v>2520</v>
      </c>
      <c r="I60" s="2" t="s">
        <v>2521</v>
      </c>
      <c r="J60" s="2" t="s">
        <v>2374</v>
      </c>
      <c r="K60" s="2" t="s">
        <v>2356</v>
      </c>
    </row>
    <row r="61" spans="1:11" ht="19.5" customHeight="1" x14ac:dyDescent="0.3">
      <c r="A61" s="18" t="s">
        <v>2522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</row>
    <row r="62" spans="1:11" ht="33.75" customHeight="1" x14ac:dyDescent="0.3">
      <c r="A62" s="7" t="s">
        <v>2523</v>
      </c>
      <c r="B62" s="4" t="s">
        <v>2524</v>
      </c>
      <c r="C62" s="4">
        <v>2022</v>
      </c>
      <c r="D62" s="4" t="s">
        <v>76</v>
      </c>
      <c r="E62" s="4" t="s">
        <v>2522</v>
      </c>
      <c r="F62" s="4" t="b">
        <f>FALSE()</f>
        <v>0</v>
      </c>
      <c r="G62" s="4" t="b">
        <f>FALSE()</f>
        <v>0</v>
      </c>
      <c r="H62" s="7" t="s">
        <v>2525</v>
      </c>
      <c r="I62" s="4" t="s">
        <v>2526</v>
      </c>
      <c r="J62" s="4" t="s">
        <v>2350</v>
      </c>
      <c r="K62" s="4" t="s">
        <v>2351</v>
      </c>
    </row>
    <row r="63" spans="1:11" ht="33.75" customHeight="1" x14ac:dyDescent="0.3">
      <c r="A63" s="6" t="s">
        <v>2527</v>
      </c>
      <c r="B63" s="2" t="s">
        <v>2528</v>
      </c>
      <c r="C63" s="2">
        <v>2022</v>
      </c>
      <c r="D63" s="2" t="s">
        <v>76</v>
      </c>
      <c r="E63" s="2" t="s">
        <v>2522</v>
      </c>
      <c r="F63" s="2" t="b">
        <f>FALSE()</f>
        <v>0</v>
      </c>
      <c r="G63" s="2" t="b">
        <f>FALSE()</f>
        <v>0</v>
      </c>
      <c r="H63" s="6" t="s">
        <v>2529</v>
      </c>
      <c r="I63" s="2" t="s">
        <v>103</v>
      </c>
      <c r="J63" s="2" t="s">
        <v>2350</v>
      </c>
      <c r="K63" s="2" t="s">
        <v>2351</v>
      </c>
    </row>
    <row r="64" spans="1:11" ht="33.75" customHeight="1" x14ac:dyDescent="0.3">
      <c r="A64" s="7" t="s">
        <v>2530</v>
      </c>
      <c r="B64" s="4" t="s">
        <v>2531</v>
      </c>
      <c r="C64" s="4">
        <v>2023</v>
      </c>
      <c r="D64" s="4" t="s">
        <v>76</v>
      </c>
      <c r="E64" s="4" t="s">
        <v>2522</v>
      </c>
      <c r="F64" s="4" t="b">
        <f>FALSE()</f>
        <v>0</v>
      </c>
      <c r="G64" s="4" t="b">
        <f>FALSE()</f>
        <v>0</v>
      </c>
      <c r="H64" s="7" t="s">
        <v>2532</v>
      </c>
      <c r="I64" s="4" t="s">
        <v>103</v>
      </c>
      <c r="J64" s="4" t="s">
        <v>2374</v>
      </c>
      <c r="K64" s="4" t="s">
        <v>2356</v>
      </c>
    </row>
    <row r="65" spans="1:11" ht="33.75" customHeight="1" x14ac:dyDescent="0.3">
      <c r="A65" s="6" t="s">
        <v>2533</v>
      </c>
      <c r="B65" s="2" t="s">
        <v>2534</v>
      </c>
      <c r="C65" s="2">
        <v>2023</v>
      </c>
      <c r="D65" s="2" t="s">
        <v>138</v>
      </c>
      <c r="E65" s="2" t="s">
        <v>2522</v>
      </c>
      <c r="F65" s="2" t="b">
        <f>FALSE()</f>
        <v>0</v>
      </c>
      <c r="G65" s="2" t="b">
        <f>FALSE()</f>
        <v>0</v>
      </c>
      <c r="H65" s="6" t="s">
        <v>2535</v>
      </c>
      <c r="I65" s="2" t="s">
        <v>2536</v>
      </c>
      <c r="J65" s="2" t="s">
        <v>2374</v>
      </c>
      <c r="K65" s="2" t="s">
        <v>2356</v>
      </c>
    </row>
    <row r="66" spans="1:11" ht="33.75" customHeight="1" x14ac:dyDescent="0.3">
      <c r="A66" s="7" t="s">
        <v>2537</v>
      </c>
      <c r="B66" s="4" t="s">
        <v>2538</v>
      </c>
      <c r="C66" s="4">
        <v>2025</v>
      </c>
      <c r="D66" s="4" t="s">
        <v>138</v>
      </c>
      <c r="E66" s="4" t="s">
        <v>2522</v>
      </c>
      <c r="F66" s="4" t="b">
        <f>FALSE()</f>
        <v>0</v>
      </c>
      <c r="G66" s="4" t="b">
        <f>FALSE()</f>
        <v>0</v>
      </c>
      <c r="H66" s="7" t="s">
        <v>2539</v>
      </c>
      <c r="I66" s="4" t="s">
        <v>2540</v>
      </c>
      <c r="J66" s="4" t="s">
        <v>2350</v>
      </c>
      <c r="K66" s="4" t="s">
        <v>2351</v>
      </c>
    </row>
    <row r="67" spans="1:11" ht="19.5" customHeight="1" x14ac:dyDescent="0.3">
      <c r="A67" s="18" t="s">
        <v>1859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</row>
    <row r="68" spans="1:11" ht="33.75" customHeight="1" x14ac:dyDescent="0.3">
      <c r="A68" s="6" t="s">
        <v>2541</v>
      </c>
      <c r="B68" s="2" t="s">
        <v>2542</v>
      </c>
      <c r="C68" s="2">
        <v>2023</v>
      </c>
      <c r="D68" s="2" t="s">
        <v>76</v>
      </c>
      <c r="E68" s="2" t="s">
        <v>1859</v>
      </c>
      <c r="F68" s="2" t="b">
        <f>FALSE()</f>
        <v>0</v>
      </c>
      <c r="G68" s="2" t="b">
        <f>FALSE()</f>
        <v>0</v>
      </c>
      <c r="H68" s="6" t="s">
        <v>2543</v>
      </c>
      <c r="I68" s="2" t="s">
        <v>2544</v>
      </c>
      <c r="J68" s="2" t="s">
        <v>2374</v>
      </c>
      <c r="K68" s="2" t="s">
        <v>2351</v>
      </c>
    </row>
    <row r="69" spans="1:11" ht="33.75" customHeight="1" x14ac:dyDescent="0.3">
      <c r="A69" s="7" t="s">
        <v>2545</v>
      </c>
      <c r="B69" s="4" t="s">
        <v>2546</v>
      </c>
      <c r="C69" s="4">
        <v>2020</v>
      </c>
      <c r="D69" s="4" t="s">
        <v>76</v>
      </c>
      <c r="E69" s="4" t="s">
        <v>1859</v>
      </c>
      <c r="F69" s="4" t="b">
        <f>FALSE()</f>
        <v>0</v>
      </c>
      <c r="G69" s="4" t="b">
        <f>FALSE()</f>
        <v>0</v>
      </c>
      <c r="H69" s="7" t="s">
        <v>2547</v>
      </c>
      <c r="I69" s="4" t="s">
        <v>2548</v>
      </c>
      <c r="J69" s="4" t="s">
        <v>2350</v>
      </c>
      <c r="K69" s="4" t="s">
        <v>2351</v>
      </c>
    </row>
    <row r="70" spans="1:11" ht="33.75" customHeight="1" x14ac:dyDescent="0.3">
      <c r="A70" s="6" t="s">
        <v>2549</v>
      </c>
      <c r="B70" s="2" t="s">
        <v>2550</v>
      </c>
      <c r="C70" s="2">
        <v>2021</v>
      </c>
      <c r="D70" s="2" t="s">
        <v>76</v>
      </c>
      <c r="E70" s="2" t="s">
        <v>1859</v>
      </c>
      <c r="F70" s="2" t="b">
        <f>FALSE()</f>
        <v>0</v>
      </c>
      <c r="G70" s="2" t="b">
        <f>FALSE()</f>
        <v>0</v>
      </c>
      <c r="H70" s="6" t="s">
        <v>2551</v>
      </c>
      <c r="I70" s="2" t="s">
        <v>2552</v>
      </c>
      <c r="J70" s="2" t="s">
        <v>2350</v>
      </c>
      <c r="K70" s="2" t="s">
        <v>2356</v>
      </c>
    </row>
    <row r="71" spans="1:11" ht="33.75" customHeight="1" x14ac:dyDescent="0.3">
      <c r="A71" s="7" t="s">
        <v>2553</v>
      </c>
      <c r="B71" s="4" t="s">
        <v>2554</v>
      </c>
      <c r="C71" s="4">
        <v>2022</v>
      </c>
      <c r="D71" s="4" t="s">
        <v>76</v>
      </c>
      <c r="E71" s="4" t="s">
        <v>1859</v>
      </c>
      <c r="F71" s="4" t="b">
        <f>FALSE()</f>
        <v>0</v>
      </c>
      <c r="G71" s="4" t="b">
        <f>FALSE()</f>
        <v>0</v>
      </c>
      <c r="H71" s="7" t="s">
        <v>2555</v>
      </c>
      <c r="I71" s="4" t="s">
        <v>2556</v>
      </c>
      <c r="J71" s="4" t="s">
        <v>2374</v>
      </c>
      <c r="K71" s="4" t="s">
        <v>2400</v>
      </c>
    </row>
    <row r="72" spans="1:11" ht="33.75" customHeight="1" x14ac:dyDescent="0.3">
      <c r="A72" s="6" t="s">
        <v>2557</v>
      </c>
      <c r="B72" s="2" t="s">
        <v>2558</v>
      </c>
      <c r="C72" s="2">
        <v>2022</v>
      </c>
      <c r="D72" s="2" t="s">
        <v>76</v>
      </c>
      <c r="E72" s="2" t="s">
        <v>1859</v>
      </c>
      <c r="F72" s="2" t="b">
        <f>FALSE()</f>
        <v>0</v>
      </c>
      <c r="G72" s="2" t="b">
        <f>FALSE()</f>
        <v>0</v>
      </c>
      <c r="H72" s="6" t="s">
        <v>2559</v>
      </c>
      <c r="I72" s="2" t="s">
        <v>103</v>
      </c>
      <c r="J72" s="2" t="s">
        <v>2374</v>
      </c>
      <c r="K72" s="2" t="s">
        <v>2356</v>
      </c>
    </row>
    <row r="73" spans="1:11" ht="19.5" customHeight="1" x14ac:dyDescent="0.3">
      <c r="A73" s="18" t="s">
        <v>2560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</row>
    <row r="74" spans="1:11" ht="33.75" customHeight="1" x14ac:dyDescent="0.3">
      <c r="A74" s="7" t="s">
        <v>2561</v>
      </c>
      <c r="B74" s="4" t="s">
        <v>2562</v>
      </c>
      <c r="C74" s="4">
        <v>2021</v>
      </c>
      <c r="D74" s="4" t="s">
        <v>76</v>
      </c>
      <c r="E74" s="4" t="s">
        <v>2560</v>
      </c>
      <c r="F74" s="4" t="b">
        <f>FALSE()</f>
        <v>0</v>
      </c>
      <c r="G74" s="4" t="b">
        <f>FALSE()</f>
        <v>0</v>
      </c>
      <c r="H74" s="7" t="s">
        <v>2563</v>
      </c>
      <c r="I74" s="4" t="s">
        <v>2564</v>
      </c>
      <c r="J74" s="4" t="s">
        <v>2350</v>
      </c>
      <c r="K74" s="4" t="s">
        <v>2351</v>
      </c>
    </row>
    <row r="75" spans="1:11" ht="33.75" customHeight="1" x14ac:dyDescent="0.3">
      <c r="A75" s="6" t="s">
        <v>2565</v>
      </c>
      <c r="B75" s="2" t="s">
        <v>2566</v>
      </c>
      <c r="C75" s="2">
        <v>2020</v>
      </c>
      <c r="D75" s="2" t="s">
        <v>76</v>
      </c>
      <c r="E75" s="2" t="s">
        <v>2560</v>
      </c>
      <c r="F75" s="2" t="b">
        <f>FALSE()</f>
        <v>0</v>
      </c>
      <c r="G75" s="2" t="b">
        <f>FALSE()</f>
        <v>0</v>
      </c>
      <c r="H75" s="6" t="s">
        <v>2567</v>
      </c>
      <c r="I75" s="2" t="s">
        <v>103</v>
      </c>
      <c r="J75" s="2" t="s">
        <v>2350</v>
      </c>
      <c r="K75" s="2" t="s">
        <v>2356</v>
      </c>
    </row>
    <row r="76" spans="1:11" ht="33.75" customHeight="1" x14ac:dyDescent="0.3">
      <c r="A76" s="7" t="s">
        <v>2568</v>
      </c>
      <c r="B76" s="4" t="s">
        <v>2569</v>
      </c>
      <c r="C76" s="4">
        <v>2022</v>
      </c>
      <c r="D76" s="4" t="s">
        <v>138</v>
      </c>
      <c r="E76" s="4" t="s">
        <v>2560</v>
      </c>
      <c r="F76" s="4" t="b">
        <f>FALSE()</f>
        <v>0</v>
      </c>
      <c r="G76" s="4" t="b">
        <f>FALSE()</f>
        <v>0</v>
      </c>
      <c r="H76" s="7" t="s">
        <v>2570</v>
      </c>
      <c r="I76" s="4" t="s">
        <v>103</v>
      </c>
      <c r="J76" s="4" t="s">
        <v>2374</v>
      </c>
      <c r="K76" s="4" t="s">
        <v>2400</v>
      </c>
    </row>
    <row r="77" spans="1:11" ht="33.75" customHeight="1" x14ac:dyDescent="0.3">
      <c r="A77" s="6" t="s">
        <v>2571</v>
      </c>
      <c r="B77" s="2" t="s">
        <v>2572</v>
      </c>
      <c r="C77" s="2">
        <v>2020</v>
      </c>
      <c r="D77" s="2" t="s">
        <v>138</v>
      </c>
      <c r="E77" s="2" t="s">
        <v>2560</v>
      </c>
      <c r="F77" s="2" t="b">
        <f>FALSE()</f>
        <v>0</v>
      </c>
      <c r="G77" s="2" t="b">
        <f>FALSE()</f>
        <v>0</v>
      </c>
      <c r="H77" s="6" t="s">
        <v>2573</v>
      </c>
      <c r="I77" s="2" t="s">
        <v>2574</v>
      </c>
      <c r="J77" s="2" t="s">
        <v>2350</v>
      </c>
      <c r="K77" s="2" t="s">
        <v>2356</v>
      </c>
    </row>
    <row r="78" spans="1:11" ht="19.5" customHeight="1" x14ac:dyDescent="0.3">
      <c r="A78" s="18" t="s">
        <v>2575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</row>
    <row r="79" spans="1:11" ht="33.75" customHeight="1" x14ac:dyDescent="0.3">
      <c r="A79" s="7" t="s">
        <v>2576</v>
      </c>
      <c r="B79" s="4" t="s">
        <v>2577</v>
      </c>
      <c r="C79" s="4">
        <v>2016</v>
      </c>
      <c r="D79" s="4" t="s">
        <v>76</v>
      </c>
      <c r="E79" s="4" t="s">
        <v>2575</v>
      </c>
      <c r="F79" s="4" t="b">
        <f>FALSE()</f>
        <v>0</v>
      </c>
      <c r="G79" s="4" t="b">
        <f>FALSE()</f>
        <v>0</v>
      </c>
      <c r="H79" s="7" t="s">
        <v>2578</v>
      </c>
      <c r="I79" s="4" t="s">
        <v>2579</v>
      </c>
      <c r="J79" s="4" t="s">
        <v>2350</v>
      </c>
      <c r="K79" s="4" t="s">
        <v>2356</v>
      </c>
    </row>
    <row r="80" spans="1:11" ht="33.75" customHeight="1" x14ac:dyDescent="0.3">
      <c r="A80" s="6" t="s">
        <v>2580</v>
      </c>
      <c r="B80" s="2" t="s">
        <v>2581</v>
      </c>
      <c r="C80" s="2">
        <v>2018</v>
      </c>
      <c r="D80" s="2" t="s">
        <v>76</v>
      </c>
      <c r="E80" s="2" t="s">
        <v>2575</v>
      </c>
      <c r="F80" s="2" t="b">
        <f>FALSE()</f>
        <v>0</v>
      </c>
      <c r="G80" s="2" t="b">
        <f>FALSE()</f>
        <v>0</v>
      </c>
      <c r="H80" s="6" t="s">
        <v>2582</v>
      </c>
      <c r="I80" s="2" t="s">
        <v>1705</v>
      </c>
      <c r="J80" s="2" t="s">
        <v>2350</v>
      </c>
      <c r="K80" s="2" t="s">
        <v>2356</v>
      </c>
    </row>
    <row r="81" spans="1:11" ht="33.75" customHeight="1" x14ac:dyDescent="0.3">
      <c r="A81" s="7" t="s">
        <v>2583</v>
      </c>
      <c r="B81" s="4" t="s">
        <v>2584</v>
      </c>
      <c r="C81" s="4">
        <v>2020</v>
      </c>
      <c r="D81" s="4" t="s">
        <v>76</v>
      </c>
      <c r="E81" s="4" t="s">
        <v>2575</v>
      </c>
      <c r="F81" s="4" t="b">
        <f>FALSE()</f>
        <v>0</v>
      </c>
      <c r="G81" s="4" t="b">
        <f>FALSE()</f>
        <v>0</v>
      </c>
      <c r="H81" s="7" t="s">
        <v>2585</v>
      </c>
      <c r="I81" s="4" t="s">
        <v>2586</v>
      </c>
      <c r="J81" s="4" t="s">
        <v>2374</v>
      </c>
      <c r="K81" s="4" t="s">
        <v>2400</v>
      </c>
    </row>
    <row r="82" spans="1:11" ht="33.75" customHeight="1" x14ac:dyDescent="0.3">
      <c r="A82" s="6" t="s">
        <v>2587</v>
      </c>
      <c r="B82" s="2" t="s">
        <v>2588</v>
      </c>
      <c r="C82" s="2">
        <v>2023</v>
      </c>
      <c r="D82" s="2" t="s">
        <v>76</v>
      </c>
      <c r="E82" s="2" t="s">
        <v>2575</v>
      </c>
      <c r="F82" s="2" t="b">
        <f>FALSE()</f>
        <v>0</v>
      </c>
      <c r="G82" s="2" t="b">
        <f>FALSE()</f>
        <v>0</v>
      </c>
      <c r="H82" s="6" t="s">
        <v>2589</v>
      </c>
      <c r="I82" s="2" t="s">
        <v>103</v>
      </c>
      <c r="J82" s="2" t="s">
        <v>2374</v>
      </c>
      <c r="K82" s="2" t="s">
        <v>2356</v>
      </c>
    </row>
    <row r="83" spans="1:11" ht="19.5" customHeight="1" x14ac:dyDescent="0.3">
      <c r="A83" s="18" t="s">
        <v>2590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</row>
    <row r="84" spans="1:11" ht="33.75" customHeight="1" x14ac:dyDescent="0.3">
      <c r="A84" s="7" t="s">
        <v>2591</v>
      </c>
      <c r="B84" s="4" t="s">
        <v>2592</v>
      </c>
      <c r="C84" s="4">
        <v>2020</v>
      </c>
      <c r="D84" s="4" t="s">
        <v>76</v>
      </c>
      <c r="E84" s="4" t="s">
        <v>2590</v>
      </c>
      <c r="F84" s="4" t="b">
        <f>FALSE()</f>
        <v>0</v>
      </c>
      <c r="G84" s="4" t="b">
        <f>FALSE()</f>
        <v>0</v>
      </c>
      <c r="H84" s="7" t="s">
        <v>2593</v>
      </c>
      <c r="I84" s="4" t="s">
        <v>103</v>
      </c>
      <c r="J84" s="4" t="s">
        <v>2350</v>
      </c>
      <c r="K84" s="4" t="s">
        <v>2356</v>
      </c>
    </row>
    <row r="85" spans="1:11" ht="33.75" customHeight="1" x14ac:dyDescent="0.3">
      <c r="A85" s="6" t="s">
        <v>2594</v>
      </c>
      <c r="B85" s="2" t="s">
        <v>2595</v>
      </c>
      <c r="C85" s="2">
        <v>2019</v>
      </c>
      <c r="D85" s="2" t="s">
        <v>76</v>
      </c>
      <c r="E85" s="2" t="s">
        <v>2590</v>
      </c>
      <c r="F85" s="2" t="b">
        <f>FALSE()</f>
        <v>0</v>
      </c>
      <c r="G85" s="2" t="b">
        <f>FALSE()</f>
        <v>0</v>
      </c>
      <c r="H85" s="6" t="s">
        <v>2596</v>
      </c>
      <c r="I85" s="2" t="s">
        <v>2597</v>
      </c>
      <c r="J85" s="2" t="s">
        <v>2350</v>
      </c>
      <c r="K85" s="2" t="s">
        <v>2356</v>
      </c>
    </row>
    <row r="86" spans="1:11" ht="33.75" customHeight="1" x14ac:dyDescent="0.3">
      <c r="A86" s="7" t="s">
        <v>2598</v>
      </c>
      <c r="B86" s="4" t="s">
        <v>2599</v>
      </c>
      <c r="C86" s="4">
        <v>2020</v>
      </c>
      <c r="D86" s="4" t="s">
        <v>76</v>
      </c>
      <c r="E86" s="4" t="s">
        <v>2590</v>
      </c>
      <c r="F86" s="4" t="b">
        <f>FALSE()</f>
        <v>0</v>
      </c>
      <c r="G86" s="4" t="b">
        <f>FALSE()</f>
        <v>0</v>
      </c>
      <c r="H86" s="7" t="s">
        <v>2600</v>
      </c>
      <c r="I86" s="4" t="s">
        <v>2601</v>
      </c>
      <c r="J86" s="4" t="s">
        <v>2374</v>
      </c>
      <c r="K86" s="4" t="s">
        <v>2400</v>
      </c>
    </row>
    <row r="87" spans="1:11" ht="33.75" customHeight="1" x14ac:dyDescent="0.3">
      <c r="A87" s="6" t="s">
        <v>2602</v>
      </c>
      <c r="B87" s="2" t="s">
        <v>2603</v>
      </c>
      <c r="C87" s="2">
        <v>2023</v>
      </c>
      <c r="D87" s="2" t="s">
        <v>138</v>
      </c>
      <c r="E87" s="2" t="s">
        <v>2590</v>
      </c>
      <c r="F87" s="2" t="b">
        <f>FALSE()</f>
        <v>0</v>
      </c>
      <c r="G87" s="2" t="b">
        <f>FALSE()</f>
        <v>0</v>
      </c>
      <c r="H87" s="6" t="s">
        <v>2604</v>
      </c>
      <c r="I87" s="2" t="s">
        <v>2605</v>
      </c>
      <c r="J87" s="2" t="s">
        <v>2374</v>
      </c>
      <c r="K87" s="2" t="s">
        <v>2356</v>
      </c>
    </row>
    <row r="88" spans="1:11" ht="19.5" customHeight="1" x14ac:dyDescent="0.3">
      <c r="A88" s="18" t="s">
        <v>1510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</row>
    <row r="89" spans="1:11" ht="33.75" customHeight="1" x14ac:dyDescent="0.3">
      <c r="A89" s="7" t="s">
        <v>2606</v>
      </c>
      <c r="B89" s="4" t="s">
        <v>2607</v>
      </c>
      <c r="C89" s="4">
        <v>2021</v>
      </c>
      <c r="D89" s="4" t="s">
        <v>138</v>
      </c>
      <c r="E89" s="4" t="s">
        <v>1510</v>
      </c>
      <c r="F89" s="4" t="b">
        <f>FALSE()</f>
        <v>0</v>
      </c>
      <c r="G89" s="4" t="b">
        <f>FALSE()</f>
        <v>0</v>
      </c>
      <c r="H89" s="7" t="s">
        <v>2608</v>
      </c>
      <c r="I89" s="4" t="s">
        <v>103</v>
      </c>
      <c r="J89" s="4" t="s">
        <v>2374</v>
      </c>
      <c r="K89" s="4" t="s">
        <v>2356</v>
      </c>
    </row>
    <row r="90" spans="1:11" ht="33.75" customHeight="1" x14ac:dyDescent="0.3">
      <c r="A90" s="6" t="s">
        <v>2609</v>
      </c>
      <c r="B90" s="2" t="s">
        <v>2610</v>
      </c>
      <c r="C90" s="2">
        <v>2022</v>
      </c>
      <c r="D90" s="2" t="s">
        <v>138</v>
      </c>
      <c r="E90" s="2" t="s">
        <v>1510</v>
      </c>
      <c r="F90" s="2" t="b">
        <f>FALSE()</f>
        <v>0</v>
      </c>
      <c r="G90" s="2" t="b">
        <f>FALSE()</f>
        <v>0</v>
      </c>
      <c r="H90" s="6" t="s">
        <v>2611</v>
      </c>
      <c r="I90" s="2" t="s">
        <v>103</v>
      </c>
      <c r="J90" s="2" t="s">
        <v>2374</v>
      </c>
      <c r="K90" s="2" t="s">
        <v>2400</v>
      </c>
    </row>
    <row r="91" spans="1:11" ht="33.75" customHeight="1" x14ac:dyDescent="0.3">
      <c r="A91" s="7" t="s">
        <v>2612</v>
      </c>
      <c r="B91" s="4" t="s">
        <v>2613</v>
      </c>
      <c r="C91" s="4">
        <v>2022</v>
      </c>
      <c r="D91" s="4" t="s">
        <v>138</v>
      </c>
      <c r="E91" s="4" t="s">
        <v>1510</v>
      </c>
      <c r="F91" s="4" t="b">
        <f>FALSE()</f>
        <v>0</v>
      </c>
      <c r="G91" s="4" t="b">
        <f>FALSE()</f>
        <v>0</v>
      </c>
      <c r="H91" s="7" t="s">
        <v>2614</v>
      </c>
      <c r="I91" s="4" t="s">
        <v>2615</v>
      </c>
      <c r="J91" s="4" t="s">
        <v>2420</v>
      </c>
      <c r="K91" s="4" t="s">
        <v>2400</v>
      </c>
    </row>
  </sheetData>
  <autoFilter ref="A4:K4" xr:uid="{00000000-0009-0000-0000-00000F000000}"/>
  <mergeCells count="18">
    <mergeCell ref="A78:K78"/>
    <mergeCell ref="A83:K83"/>
    <mergeCell ref="A88:K88"/>
    <mergeCell ref="A50:K50"/>
    <mergeCell ref="A56:K56"/>
    <mergeCell ref="A61:K61"/>
    <mergeCell ref="A67:K67"/>
    <mergeCell ref="A73:K73"/>
    <mergeCell ref="A22:K22"/>
    <mergeCell ref="A28:K28"/>
    <mergeCell ref="A35:K35"/>
    <mergeCell ref="A40:K40"/>
    <mergeCell ref="A46:K46"/>
    <mergeCell ref="A1:K1"/>
    <mergeCell ref="A2:K2"/>
    <mergeCell ref="A3:J3"/>
    <mergeCell ref="A5:K5"/>
    <mergeCell ref="A14:K14"/>
  </mergeCells>
  <conditionalFormatting sqref="F6:F13">
    <cfRule type="expression" dxfId="141" priority="3">
      <formula>$F6=1</formula>
    </cfRule>
    <cfRule type="expression" dxfId="140" priority="4">
      <formula>$F6=0</formula>
    </cfRule>
  </conditionalFormatting>
  <conditionalFormatting sqref="F15:F21">
    <cfRule type="expression" dxfId="139" priority="9">
      <formula>$F15=1</formula>
    </cfRule>
    <cfRule type="expression" dxfId="138" priority="10">
      <formula>$F15=0</formula>
    </cfRule>
  </conditionalFormatting>
  <conditionalFormatting sqref="F23:F27">
    <cfRule type="expression" dxfId="137" priority="15">
      <formula>$F23=1</formula>
    </cfRule>
    <cfRule type="expression" dxfId="136" priority="16">
      <formula>$F23=0</formula>
    </cfRule>
  </conditionalFormatting>
  <conditionalFormatting sqref="F29:F34">
    <cfRule type="expression" dxfId="135" priority="22">
      <formula>$F29=0</formula>
    </cfRule>
    <cfRule type="expression" dxfId="134" priority="21">
      <formula>$F29=1</formula>
    </cfRule>
  </conditionalFormatting>
  <conditionalFormatting sqref="F36:F39">
    <cfRule type="expression" dxfId="133" priority="28">
      <formula>$F36=0</formula>
    </cfRule>
    <cfRule type="expression" dxfId="132" priority="27">
      <formula>$F36=1</formula>
    </cfRule>
  </conditionalFormatting>
  <conditionalFormatting sqref="F41:F45">
    <cfRule type="expression" dxfId="131" priority="34">
      <formula>$F41=0</formula>
    </cfRule>
    <cfRule type="expression" dxfId="130" priority="33">
      <formula>$F41=1</formula>
    </cfRule>
  </conditionalFormatting>
  <conditionalFormatting sqref="F47:F49">
    <cfRule type="expression" dxfId="129" priority="40">
      <formula>$F47=0</formula>
    </cfRule>
    <cfRule type="expression" dxfId="128" priority="39">
      <formula>$F47=1</formula>
    </cfRule>
  </conditionalFormatting>
  <conditionalFormatting sqref="F51:F55">
    <cfRule type="expression" dxfId="127" priority="46">
      <formula>$F51=0</formula>
    </cfRule>
    <cfRule type="expression" dxfId="126" priority="45">
      <formula>$F51=1</formula>
    </cfRule>
  </conditionalFormatting>
  <conditionalFormatting sqref="F57:F60">
    <cfRule type="expression" dxfId="125" priority="52">
      <formula>$F57=0</formula>
    </cfRule>
    <cfRule type="expression" dxfId="124" priority="51">
      <formula>$F57=1</formula>
    </cfRule>
  </conditionalFormatting>
  <conditionalFormatting sqref="F62:F66">
    <cfRule type="expression" dxfId="123" priority="57">
      <formula>$F62=1</formula>
    </cfRule>
    <cfRule type="expression" dxfId="122" priority="58">
      <formula>$F62=0</formula>
    </cfRule>
  </conditionalFormatting>
  <conditionalFormatting sqref="F68:F72">
    <cfRule type="expression" dxfId="121" priority="63">
      <formula>$F68=1</formula>
    </cfRule>
    <cfRule type="expression" dxfId="120" priority="64">
      <formula>$F68=0</formula>
    </cfRule>
  </conditionalFormatting>
  <conditionalFormatting sqref="F74:F77">
    <cfRule type="expression" dxfId="119" priority="70">
      <formula>$F74=0</formula>
    </cfRule>
    <cfRule type="expression" dxfId="118" priority="69">
      <formula>$F74=1</formula>
    </cfRule>
  </conditionalFormatting>
  <conditionalFormatting sqref="F79:F82">
    <cfRule type="expression" dxfId="117" priority="76">
      <formula>$F79=0</formula>
    </cfRule>
    <cfRule type="expression" dxfId="116" priority="75">
      <formula>$F79=1</formula>
    </cfRule>
  </conditionalFormatting>
  <conditionalFormatting sqref="F84:F87">
    <cfRule type="expression" dxfId="115" priority="82">
      <formula>$F84=0</formula>
    </cfRule>
    <cfRule type="expression" dxfId="114" priority="81">
      <formula>$F84=1</formula>
    </cfRule>
  </conditionalFormatting>
  <conditionalFormatting sqref="F89:F91">
    <cfRule type="expression" dxfId="113" priority="87">
      <formula>$F89=1</formula>
    </cfRule>
    <cfRule type="expression" dxfId="112" priority="88">
      <formula>$F89=0</formula>
    </cfRule>
  </conditionalFormatting>
  <conditionalFormatting sqref="G6:G13">
    <cfRule type="expression" dxfId="111" priority="6">
      <formula>$G6=0</formula>
    </cfRule>
    <cfRule type="expression" dxfId="110" priority="5">
      <formula>$G6=1</formula>
    </cfRule>
  </conditionalFormatting>
  <conditionalFormatting sqref="G15:G21">
    <cfRule type="expression" dxfId="109" priority="12">
      <formula>$G15=0</formula>
    </cfRule>
    <cfRule type="expression" dxfId="108" priority="11">
      <formula>$G15=1</formula>
    </cfRule>
  </conditionalFormatting>
  <conditionalFormatting sqref="G23:G27">
    <cfRule type="expression" dxfId="107" priority="18">
      <formula>$G23=0</formula>
    </cfRule>
    <cfRule type="expression" dxfId="106" priority="17">
      <formula>$G23=1</formula>
    </cfRule>
  </conditionalFormatting>
  <conditionalFormatting sqref="G29:G34">
    <cfRule type="expression" dxfId="105" priority="23">
      <formula>$G29=1</formula>
    </cfRule>
    <cfRule type="expression" dxfId="104" priority="24">
      <formula>$G29=0</formula>
    </cfRule>
  </conditionalFormatting>
  <conditionalFormatting sqref="G36:G39">
    <cfRule type="expression" dxfId="103" priority="29">
      <formula>$G36=1</formula>
    </cfRule>
    <cfRule type="expression" dxfId="102" priority="30">
      <formula>$G36=0</formula>
    </cfRule>
  </conditionalFormatting>
  <conditionalFormatting sqref="G41:G45">
    <cfRule type="expression" dxfId="101" priority="35">
      <formula>$G41=1</formula>
    </cfRule>
    <cfRule type="expression" dxfId="100" priority="36">
      <formula>$G41=0</formula>
    </cfRule>
  </conditionalFormatting>
  <conditionalFormatting sqref="G47:G49">
    <cfRule type="expression" dxfId="99" priority="41">
      <formula>$G47=1</formula>
    </cfRule>
    <cfRule type="expression" dxfId="98" priority="42">
      <formula>$G47=0</formula>
    </cfRule>
  </conditionalFormatting>
  <conditionalFormatting sqref="G51:G55">
    <cfRule type="expression" dxfId="97" priority="48">
      <formula>$G51=0</formula>
    </cfRule>
    <cfRule type="expression" dxfId="96" priority="47">
      <formula>$G51=1</formula>
    </cfRule>
  </conditionalFormatting>
  <conditionalFormatting sqref="G57:G60">
    <cfRule type="expression" dxfId="95" priority="53">
      <formula>$G57=1</formula>
    </cfRule>
    <cfRule type="expression" dxfId="94" priority="54">
      <formula>$G57=0</formula>
    </cfRule>
  </conditionalFormatting>
  <conditionalFormatting sqref="G62:G66">
    <cfRule type="expression" dxfId="93" priority="60">
      <formula>$G62=0</formula>
    </cfRule>
    <cfRule type="expression" dxfId="92" priority="59">
      <formula>$G62=1</formula>
    </cfRule>
  </conditionalFormatting>
  <conditionalFormatting sqref="G68:G72">
    <cfRule type="expression" dxfId="91" priority="66">
      <formula>$G68=0</formula>
    </cfRule>
    <cfRule type="expression" dxfId="90" priority="65">
      <formula>$G68=1</formula>
    </cfRule>
  </conditionalFormatting>
  <conditionalFormatting sqref="G74:G77">
    <cfRule type="expression" dxfId="89" priority="72">
      <formula>$G74=0</formula>
    </cfRule>
    <cfRule type="expression" dxfId="88" priority="71">
      <formula>$G74=1</formula>
    </cfRule>
  </conditionalFormatting>
  <conditionalFormatting sqref="G79:G82">
    <cfRule type="expression" dxfId="87" priority="78">
      <formula>$G79=0</formula>
    </cfRule>
    <cfRule type="expression" dxfId="86" priority="77">
      <formula>$G79=1</formula>
    </cfRule>
  </conditionalFormatting>
  <conditionalFormatting sqref="G84:G87">
    <cfRule type="expression" dxfId="85" priority="84">
      <formula>$G84=0</formula>
    </cfRule>
    <cfRule type="expression" dxfId="84" priority="83">
      <formula>$G84=1</formula>
    </cfRule>
  </conditionalFormatting>
  <conditionalFormatting sqref="G89:G91">
    <cfRule type="expression" dxfId="83" priority="89">
      <formula>$G89=1</formula>
    </cfRule>
    <cfRule type="expression" dxfId="82" priority="90">
      <formula>$G89=0</formula>
    </cfRule>
  </conditionalFormatting>
  <conditionalFormatting sqref="K3">
    <cfRule type="dataBar" priority="2">
      <dataBar>
        <cfvo type="num" val="0"/>
        <cfvo type="num" val="100"/>
        <color rgb="FF8FC1E9"/>
      </dataBar>
      <extLst>
        <ext xmlns:x14="http://schemas.microsoft.com/office/spreadsheetml/2009/9/main" uri="{B025F937-C7B1-47D3-B67F-A62EFF666E3E}">
          <x14:id>{1AFE3697-BC50-483B-A382-D6E44227CFB1}</x14:id>
        </ext>
      </extLst>
    </cfRule>
  </conditionalFormatting>
  <conditionalFormatting sqref="K6:K13">
    <cfRule type="expression" dxfId="81" priority="8">
      <formula>K6="Medium"</formula>
    </cfRule>
    <cfRule type="expression" dxfId="80" priority="7">
      <formula>K6="High"</formula>
    </cfRule>
  </conditionalFormatting>
  <conditionalFormatting sqref="K15:K21">
    <cfRule type="expression" dxfId="79" priority="14">
      <formula>K15="Medium"</formula>
    </cfRule>
    <cfRule type="expression" dxfId="78" priority="13">
      <formula>K15="High"</formula>
    </cfRule>
  </conditionalFormatting>
  <conditionalFormatting sqref="K23:K27">
    <cfRule type="expression" dxfId="77" priority="19">
      <formula>K23="High"</formula>
    </cfRule>
    <cfRule type="expression" dxfId="76" priority="20">
      <formula>K23="Medium"</formula>
    </cfRule>
  </conditionalFormatting>
  <conditionalFormatting sqref="K29:K34">
    <cfRule type="expression" dxfId="75" priority="26">
      <formula>K29="Medium"</formula>
    </cfRule>
    <cfRule type="expression" dxfId="74" priority="25">
      <formula>K29="High"</formula>
    </cfRule>
  </conditionalFormatting>
  <conditionalFormatting sqref="K36:K39">
    <cfRule type="expression" dxfId="73" priority="32">
      <formula>K36="Medium"</formula>
    </cfRule>
    <cfRule type="expression" dxfId="72" priority="31">
      <formula>K36="High"</formula>
    </cfRule>
  </conditionalFormatting>
  <conditionalFormatting sqref="K41:K45">
    <cfRule type="expression" dxfId="71" priority="37">
      <formula>K41="High"</formula>
    </cfRule>
    <cfRule type="expression" dxfId="70" priority="38">
      <formula>K41="Medium"</formula>
    </cfRule>
  </conditionalFormatting>
  <conditionalFormatting sqref="K47:K49">
    <cfRule type="expression" dxfId="69" priority="43">
      <formula>K47="High"</formula>
    </cfRule>
    <cfRule type="expression" dxfId="68" priority="44">
      <formula>K47="Medium"</formula>
    </cfRule>
  </conditionalFormatting>
  <conditionalFormatting sqref="K51:K55">
    <cfRule type="expression" dxfId="67" priority="50">
      <formula>K51="Medium"</formula>
    </cfRule>
    <cfRule type="expression" dxfId="66" priority="49">
      <formula>K51="High"</formula>
    </cfRule>
  </conditionalFormatting>
  <conditionalFormatting sqref="K57:K60">
    <cfRule type="expression" dxfId="65" priority="56">
      <formula>K57="Medium"</formula>
    </cfRule>
    <cfRule type="expression" dxfId="64" priority="55">
      <formula>K57="High"</formula>
    </cfRule>
  </conditionalFormatting>
  <conditionalFormatting sqref="K62:K66">
    <cfRule type="expression" dxfId="63" priority="62">
      <formula>K62="Medium"</formula>
    </cfRule>
    <cfRule type="expression" dxfId="62" priority="61">
      <formula>K62="High"</formula>
    </cfRule>
  </conditionalFormatting>
  <conditionalFormatting sqref="K68:K72">
    <cfRule type="expression" dxfId="61" priority="67">
      <formula>K68="High"</formula>
    </cfRule>
    <cfRule type="expression" dxfId="60" priority="68">
      <formula>K68="Medium"</formula>
    </cfRule>
  </conditionalFormatting>
  <conditionalFormatting sqref="K74:K77">
    <cfRule type="expression" dxfId="59" priority="73">
      <formula>K74="High"</formula>
    </cfRule>
    <cfRule type="expression" dxfId="58" priority="74">
      <formula>K74="Medium"</formula>
    </cfRule>
  </conditionalFormatting>
  <conditionalFormatting sqref="K79:K82">
    <cfRule type="expression" dxfId="57" priority="79">
      <formula>K79="High"</formula>
    </cfRule>
    <cfRule type="expression" dxfId="56" priority="80">
      <formula>K79="Medium"</formula>
    </cfRule>
  </conditionalFormatting>
  <conditionalFormatting sqref="K84:K87">
    <cfRule type="expression" dxfId="55" priority="85">
      <formula>K84="High"</formula>
    </cfRule>
    <cfRule type="expression" dxfId="54" priority="86">
      <formula>K84="Medium"</formula>
    </cfRule>
  </conditionalFormatting>
  <conditionalFormatting sqref="K89:K91">
    <cfRule type="expression" dxfId="53" priority="91">
      <formula>K89="High"</formula>
    </cfRule>
    <cfRule type="expression" dxfId="52" priority="92">
      <formula>K89="Medium"</formula>
    </cfRule>
  </conditionalFormatting>
  <dataValidations count="3">
    <dataValidation type="list" allowBlank="1" sqref="F89:G91 F84:G87 F79:G82 F74:G77 F68:G72 F62:G66 F57:G60 F51:G55 F47:G49 F41:G45 F36:G39 F29:G34 F23:G27 F15:G21 F6:G13" xr:uid="{00000000-0002-0000-0F00-000000000000}">
      <formula1>"TRUE,FALSE"</formula1>
      <formula2>0</formula2>
    </dataValidation>
    <dataValidation type="list" allowBlank="1" sqref="J6:J13 J89:J91 J84:J87 J79:J82 J74:J77 J68:J72 J62:J66 J57:J60 J51:J55 J47:J49 J41:J45 J36:J39 J29:J34 J23:J27 J15:J21" xr:uid="{00000000-0002-0000-0F00-000002000000}">
      <formula1>"Foundational,Important,Supplementary"</formula1>
      <formula2>0</formula2>
    </dataValidation>
    <dataValidation type="list" allowBlank="1" sqref="K6:K13 K89:K91 K84:K87 K79:K82 K74:K77 K68:K72 K62:K66 K57:K60 K51:K55 K47:K49 K41:K45 K36:K39 K29:K34 K23:K27 K15:K21" xr:uid="{00000000-0002-0000-0F00-000003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AFE3697-BC50-483B-A382-D6E44227CFB1}">
            <x14:dataBar axisPosition="none">
              <x14:cfvo type="num">
                <xm:f>0</xm:f>
              </x14:cfvo>
              <x14:cfvo type="num">
                <xm:f>100</xm:f>
              </x14:cfvo>
              <x14:negativeFillColor rgb="FF8FC1E9"/>
            </x14:dataBar>
          </x14:cfRule>
          <xm:sqref>K3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56"/>
  <sheetViews>
    <sheetView showGridLines="0" zoomScaleNormal="100" workbookViewId="0">
      <pane ySplit="4" topLeftCell="A10" activePane="bottomLeft" state="frozen"/>
      <selection pane="bottomLeft" sqref="A1:N1"/>
    </sheetView>
  </sheetViews>
  <sheetFormatPr defaultColWidth="8.6640625" defaultRowHeight="14.4" x14ac:dyDescent="0.3"/>
  <cols>
    <col min="1" max="1" width="12" customWidth="1"/>
    <col min="2" max="2" width="5" customWidth="1"/>
    <col min="3" max="3" width="34" customWidth="1"/>
    <col min="4" max="4" width="16" customWidth="1"/>
    <col min="5" max="5" width="13" customWidth="1"/>
    <col min="6" max="6" width="42" customWidth="1"/>
    <col min="7" max="7" width="24" customWidth="1"/>
    <col min="8" max="8" width="30" customWidth="1"/>
    <col min="9" max="9" width="9" customWidth="1"/>
    <col min="10" max="10" width="13" customWidth="1"/>
    <col min="11" max="11" width="30" customWidth="1"/>
    <col min="12" max="13" width="12" customWidth="1"/>
    <col min="14" max="14" width="24" customWidth="1"/>
  </cols>
  <sheetData>
    <row r="1" spans="1:14" ht="33.75" customHeight="1" x14ac:dyDescent="0.3">
      <c r="A1" s="19" t="s">
        <v>22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5" customHeight="1" x14ac:dyDescent="0.3">
      <c r="A2" s="20" t="s">
        <v>2616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4" ht="15" customHeight="1" x14ac:dyDescent="0.3">
      <c r="A3" s="21" t="s">
        <v>2617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12">
        <f>ROUND(COUNTIF(A5:A56,"Completed")/52*100,0)</f>
        <v>0</v>
      </c>
    </row>
    <row r="4" spans="1:14" ht="31.5" customHeight="1" x14ac:dyDescent="0.3">
      <c r="A4" s="1" t="s">
        <v>58</v>
      </c>
      <c r="B4" s="1" t="s">
        <v>2618</v>
      </c>
      <c r="C4" s="1" t="s">
        <v>2619</v>
      </c>
      <c r="D4" s="1" t="s">
        <v>2338</v>
      </c>
      <c r="E4" s="1" t="s">
        <v>59</v>
      </c>
      <c r="F4" s="1" t="s">
        <v>2620</v>
      </c>
      <c r="G4" s="1" t="s">
        <v>2621</v>
      </c>
      <c r="H4" s="1" t="s">
        <v>2622</v>
      </c>
      <c r="I4" s="1" t="s">
        <v>62</v>
      </c>
      <c r="J4" s="1" t="s">
        <v>69</v>
      </c>
      <c r="K4" s="1" t="s">
        <v>2623</v>
      </c>
      <c r="L4" s="1" t="s">
        <v>2624</v>
      </c>
      <c r="M4" s="1" t="s">
        <v>2625</v>
      </c>
      <c r="N4" s="1" t="s">
        <v>11</v>
      </c>
    </row>
    <row r="5" spans="1:14" ht="39.75" customHeight="1" x14ac:dyDescent="0.3">
      <c r="A5" s="2" t="s">
        <v>73</v>
      </c>
      <c r="B5" s="2">
        <v>1</v>
      </c>
      <c r="C5" s="2" t="s">
        <v>2626</v>
      </c>
      <c r="D5" s="2" t="s">
        <v>2627</v>
      </c>
      <c r="E5" s="2" t="s">
        <v>2628</v>
      </c>
      <c r="F5" s="6" t="s">
        <v>2629</v>
      </c>
      <c r="G5" s="6" t="s">
        <v>2630</v>
      </c>
      <c r="H5" s="6" t="s">
        <v>2631</v>
      </c>
      <c r="I5" s="2">
        <v>8</v>
      </c>
      <c r="J5" s="3"/>
      <c r="K5" s="2" t="s">
        <v>2632</v>
      </c>
      <c r="L5" s="2" t="b">
        <f>FALSE()</f>
        <v>0</v>
      </c>
      <c r="M5" s="2" t="b">
        <f>FALSE()</f>
        <v>0</v>
      </c>
      <c r="N5" s="2"/>
    </row>
    <row r="6" spans="1:14" ht="39.75" customHeight="1" x14ac:dyDescent="0.3">
      <c r="A6" s="4" t="s">
        <v>73</v>
      </c>
      <c r="B6" s="4">
        <v>2</v>
      </c>
      <c r="C6" s="4" t="s">
        <v>2633</v>
      </c>
      <c r="D6" s="4" t="s">
        <v>2634</v>
      </c>
      <c r="E6" s="4" t="s">
        <v>2628</v>
      </c>
      <c r="F6" s="7" t="s">
        <v>2635</v>
      </c>
      <c r="G6" s="7" t="s">
        <v>2636</v>
      </c>
      <c r="H6" s="7" t="s">
        <v>2637</v>
      </c>
      <c r="I6" s="4">
        <v>6</v>
      </c>
      <c r="J6" s="5"/>
      <c r="K6" s="4" t="s">
        <v>2638</v>
      </c>
      <c r="L6" s="4" t="b">
        <f>FALSE()</f>
        <v>0</v>
      </c>
      <c r="M6" s="4" t="b">
        <f>FALSE()</f>
        <v>0</v>
      </c>
      <c r="N6" s="4"/>
    </row>
    <row r="7" spans="1:14" ht="39.75" customHeight="1" x14ac:dyDescent="0.3">
      <c r="A7" s="2" t="s">
        <v>73</v>
      </c>
      <c r="B7" s="2">
        <v>3</v>
      </c>
      <c r="C7" s="2" t="s">
        <v>2639</v>
      </c>
      <c r="D7" s="2" t="s">
        <v>52</v>
      </c>
      <c r="E7" s="2" t="s">
        <v>2628</v>
      </c>
      <c r="F7" s="6" t="s">
        <v>2640</v>
      </c>
      <c r="G7" s="6" t="s">
        <v>2630</v>
      </c>
      <c r="H7" s="6" t="s">
        <v>2641</v>
      </c>
      <c r="I7" s="2">
        <v>10</v>
      </c>
      <c r="J7" s="3"/>
      <c r="K7" s="2" t="s">
        <v>2642</v>
      </c>
      <c r="L7" s="2" t="b">
        <f>FALSE()</f>
        <v>0</v>
      </c>
      <c r="M7" s="2" t="b">
        <f>FALSE()</f>
        <v>0</v>
      </c>
      <c r="N7" s="2"/>
    </row>
    <row r="8" spans="1:14" ht="39.75" customHeight="1" x14ac:dyDescent="0.3">
      <c r="A8" s="4" t="s">
        <v>73</v>
      </c>
      <c r="B8" s="4">
        <v>4</v>
      </c>
      <c r="C8" s="4" t="s">
        <v>2643</v>
      </c>
      <c r="D8" s="4" t="s">
        <v>2634</v>
      </c>
      <c r="E8" s="4" t="s">
        <v>2628</v>
      </c>
      <c r="F8" s="7" t="s">
        <v>2644</v>
      </c>
      <c r="G8" s="7" t="s">
        <v>2645</v>
      </c>
      <c r="H8" s="7" t="s">
        <v>2646</v>
      </c>
      <c r="I8" s="4">
        <v>8</v>
      </c>
      <c r="J8" s="5"/>
      <c r="K8" s="4" t="s">
        <v>2647</v>
      </c>
      <c r="L8" s="4" t="b">
        <f>FALSE()</f>
        <v>0</v>
      </c>
      <c r="M8" s="4" t="b">
        <f>FALSE()</f>
        <v>0</v>
      </c>
      <c r="N8" s="4"/>
    </row>
    <row r="9" spans="1:14" ht="39.75" customHeight="1" x14ac:dyDescent="0.3">
      <c r="A9" s="2" t="s">
        <v>73</v>
      </c>
      <c r="B9" s="2">
        <v>5</v>
      </c>
      <c r="C9" s="2" t="s">
        <v>2648</v>
      </c>
      <c r="D9" s="2" t="s">
        <v>2649</v>
      </c>
      <c r="E9" s="2" t="s">
        <v>2628</v>
      </c>
      <c r="F9" s="6" t="s">
        <v>2650</v>
      </c>
      <c r="G9" s="6" t="s">
        <v>2651</v>
      </c>
      <c r="H9" s="6" t="s">
        <v>2652</v>
      </c>
      <c r="I9" s="2">
        <v>10</v>
      </c>
      <c r="J9" s="3"/>
      <c r="K9" s="2" t="s">
        <v>2653</v>
      </c>
      <c r="L9" s="2" t="b">
        <f>FALSE()</f>
        <v>0</v>
      </c>
      <c r="M9" s="2" t="b">
        <f>FALSE()</f>
        <v>0</v>
      </c>
      <c r="N9" s="2"/>
    </row>
    <row r="10" spans="1:14" ht="39.75" customHeight="1" x14ac:dyDescent="0.3">
      <c r="A10" s="4" t="s">
        <v>73</v>
      </c>
      <c r="B10" s="4">
        <v>6</v>
      </c>
      <c r="C10" s="4" t="s">
        <v>2654</v>
      </c>
      <c r="D10" s="4" t="s">
        <v>51</v>
      </c>
      <c r="E10" s="4" t="s">
        <v>76</v>
      </c>
      <c r="F10" s="7" t="s">
        <v>2655</v>
      </c>
      <c r="G10" s="7" t="s">
        <v>2656</v>
      </c>
      <c r="H10" s="7" t="s">
        <v>2657</v>
      </c>
      <c r="I10" s="4">
        <v>16</v>
      </c>
      <c r="J10" s="5"/>
      <c r="K10" s="4" t="s">
        <v>2658</v>
      </c>
      <c r="L10" s="4" t="b">
        <f>FALSE()</f>
        <v>0</v>
      </c>
      <c r="M10" s="4" t="b">
        <f>FALSE()</f>
        <v>0</v>
      </c>
      <c r="N10" s="4"/>
    </row>
    <row r="11" spans="1:14" ht="39.75" customHeight="1" x14ac:dyDescent="0.3">
      <c r="A11" s="2" t="s">
        <v>73</v>
      </c>
      <c r="B11" s="2">
        <v>7</v>
      </c>
      <c r="C11" s="2" t="s">
        <v>2659</v>
      </c>
      <c r="D11" s="2" t="s">
        <v>50</v>
      </c>
      <c r="E11" s="2" t="s">
        <v>2628</v>
      </c>
      <c r="F11" s="6" t="s">
        <v>2660</v>
      </c>
      <c r="G11" s="6" t="s">
        <v>2661</v>
      </c>
      <c r="H11" s="6" t="s">
        <v>2662</v>
      </c>
      <c r="I11" s="2">
        <v>12</v>
      </c>
      <c r="J11" s="3"/>
      <c r="K11" s="2" t="s">
        <v>2663</v>
      </c>
      <c r="L11" s="2" t="b">
        <f>FALSE()</f>
        <v>0</v>
      </c>
      <c r="M11" s="2" t="b">
        <f>FALSE()</f>
        <v>0</v>
      </c>
      <c r="N11" s="2"/>
    </row>
    <row r="12" spans="1:14" ht="39.75" customHeight="1" x14ac:dyDescent="0.3">
      <c r="A12" s="4" t="s">
        <v>73</v>
      </c>
      <c r="B12" s="4">
        <v>8</v>
      </c>
      <c r="C12" s="4" t="s">
        <v>2664</v>
      </c>
      <c r="D12" s="4" t="s">
        <v>52</v>
      </c>
      <c r="E12" s="4" t="s">
        <v>76</v>
      </c>
      <c r="F12" s="7" t="s">
        <v>2665</v>
      </c>
      <c r="G12" s="7" t="s">
        <v>2666</v>
      </c>
      <c r="H12" s="7" t="s">
        <v>2667</v>
      </c>
      <c r="I12" s="4">
        <v>14</v>
      </c>
      <c r="J12" s="5"/>
      <c r="K12" s="4" t="s">
        <v>2668</v>
      </c>
      <c r="L12" s="4" t="b">
        <f>FALSE()</f>
        <v>0</v>
      </c>
      <c r="M12" s="4" t="b">
        <f>FALSE()</f>
        <v>0</v>
      </c>
      <c r="N12" s="4"/>
    </row>
    <row r="13" spans="1:14" ht="39.75" customHeight="1" x14ac:dyDescent="0.3">
      <c r="A13" s="2" t="s">
        <v>73</v>
      </c>
      <c r="B13" s="2">
        <v>9</v>
      </c>
      <c r="C13" s="2" t="s">
        <v>2669</v>
      </c>
      <c r="D13" s="2" t="s">
        <v>52</v>
      </c>
      <c r="E13" s="2" t="s">
        <v>76</v>
      </c>
      <c r="F13" s="6" t="s">
        <v>2670</v>
      </c>
      <c r="G13" s="6" t="s">
        <v>2671</v>
      </c>
      <c r="H13" s="6" t="s">
        <v>2672</v>
      </c>
      <c r="I13" s="2">
        <v>18</v>
      </c>
      <c r="J13" s="3"/>
      <c r="K13" s="2" t="s">
        <v>2673</v>
      </c>
      <c r="L13" s="2" t="b">
        <f>FALSE()</f>
        <v>0</v>
      </c>
      <c r="M13" s="2" t="b">
        <f>FALSE()</f>
        <v>0</v>
      </c>
      <c r="N13" s="2"/>
    </row>
    <row r="14" spans="1:14" ht="39.75" customHeight="1" x14ac:dyDescent="0.3">
      <c r="A14" s="4" t="s">
        <v>73</v>
      </c>
      <c r="B14" s="4">
        <v>10</v>
      </c>
      <c r="C14" s="4" t="s">
        <v>2674</v>
      </c>
      <c r="D14" s="4" t="s">
        <v>52</v>
      </c>
      <c r="E14" s="4" t="s">
        <v>138</v>
      </c>
      <c r="F14" s="7" t="s">
        <v>2675</v>
      </c>
      <c r="G14" s="7" t="s">
        <v>2676</v>
      </c>
      <c r="H14" s="7" t="s">
        <v>2677</v>
      </c>
      <c r="I14" s="4">
        <v>18</v>
      </c>
      <c r="J14" s="5"/>
      <c r="K14" s="4" t="s">
        <v>2678</v>
      </c>
      <c r="L14" s="4" t="b">
        <f>FALSE()</f>
        <v>0</v>
      </c>
      <c r="M14" s="4" t="b">
        <f>FALSE()</f>
        <v>0</v>
      </c>
      <c r="N14" s="4"/>
    </row>
    <row r="15" spans="1:14" ht="39.75" customHeight="1" x14ac:dyDescent="0.3">
      <c r="A15" s="2" t="s">
        <v>73</v>
      </c>
      <c r="B15" s="2">
        <v>11</v>
      </c>
      <c r="C15" s="2" t="s">
        <v>2679</v>
      </c>
      <c r="D15" s="2" t="s">
        <v>2680</v>
      </c>
      <c r="E15" s="2" t="s">
        <v>2628</v>
      </c>
      <c r="F15" s="6" t="s">
        <v>2681</v>
      </c>
      <c r="G15" s="6" t="s">
        <v>2682</v>
      </c>
      <c r="H15" s="6" t="s">
        <v>2683</v>
      </c>
      <c r="I15" s="2">
        <v>10</v>
      </c>
      <c r="J15" s="3"/>
      <c r="K15" s="2" t="s">
        <v>2684</v>
      </c>
      <c r="L15" s="2" t="b">
        <f>FALSE()</f>
        <v>0</v>
      </c>
      <c r="M15" s="2" t="b">
        <f>FALSE()</f>
        <v>0</v>
      </c>
      <c r="N15" s="2"/>
    </row>
    <row r="16" spans="1:14" ht="39.75" customHeight="1" x14ac:dyDescent="0.3">
      <c r="A16" s="4" t="s">
        <v>73</v>
      </c>
      <c r="B16" s="4">
        <v>12</v>
      </c>
      <c r="C16" s="4" t="s">
        <v>2685</v>
      </c>
      <c r="D16" s="4" t="s">
        <v>2680</v>
      </c>
      <c r="E16" s="4" t="s">
        <v>76</v>
      </c>
      <c r="F16" s="7" t="s">
        <v>2686</v>
      </c>
      <c r="G16" s="7" t="s">
        <v>2687</v>
      </c>
      <c r="H16" s="7" t="s">
        <v>2688</v>
      </c>
      <c r="I16" s="4">
        <v>12</v>
      </c>
      <c r="J16" s="5"/>
      <c r="K16" s="4" t="s">
        <v>2689</v>
      </c>
      <c r="L16" s="4" t="b">
        <f>FALSE()</f>
        <v>0</v>
      </c>
      <c r="M16" s="4" t="b">
        <f>FALSE()</f>
        <v>0</v>
      </c>
      <c r="N16" s="4"/>
    </row>
    <row r="17" spans="1:14" ht="39.75" customHeight="1" x14ac:dyDescent="0.3">
      <c r="A17" s="2" t="s">
        <v>73</v>
      </c>
      <c r="B17" s="2">
        <v>13</v>
      </c>
      <c r="C17" s="2" t="s">
        <v>2690</v>
      </c>
      <c r="D17" s="2" t="s">
        <v>2691</v>
      </c>
      <c r="E17" s="2" t="s">
        <v>76</v>
      </c>
      <c r="F17" s="6" t="s">
        <v>2692</v>
      </c>
      <c r="G17" s="6" t="s">
        <v>2693</v>
      </c>
      <c r="H17" s="6" t="s">
        <v>2694</v>
      </c>
      <c r="I17" s="2">
        <v>14</v>
      </c>
      <c r="J17" s="3"/>
      <c r="K17" s="2" t="s">
        <v>2695</v>
      </c>
      <c r="L17" s="2" t="b">
        <f>FALSE()</f>
        <v>0</v>
      </c>
      <c r="M17" s="2" t="b">
        <f>FALSE()</f>
        <v>0</v>
      </c>
      <c r="N17" s="2"/>
    </row>
    <row r="18" spans="1:14" ht="39.75" customHeight="1" x14ac:dyDescent="0.3">
      <c r="A18" s="4" t="s">
        <v>73</v>
      </c>
      <c r="B18" s="4">
        <v>14</v>
      </c>
      <c r="C18" s="4" t="s">
        <v>2696</v>
      </c>
      <c r="D18" s="4" t="s">
        <v>2680</v>
      </c>
      <c r="E18" s="4" t="s">
        <v>76</v>
      </c>
      <c r="F18" s="7" t="s">
        <v>2697</v>
      </c>
      <c r="G18" s="7" t="s">
        <v>2698</v>
      </c>
      <c r="H18" s="7" t="s">
        <v>2699</v>
      </c>
      <c r="I18" s="4">
        <v>10</v>
      </c>
      <c r="J18" s="5"/>
      <c r="K18" s="4" t="s">
        <v>2700</v>
      </c>
      <c r="L18" s="4" t="b">
        <f>FALSE()</f>
        <v>0</v>
      </c>
      <c r="M18" s="4" t="b">
        <f>FALSE()</f>
        <v>0</v>
      </c>
      <c r="N18" s="4"/>
    </row>
    <row r="19" spans="1:14" ht="39.75" customHeight="1" x14ac:dyDescent="0.3">
      <c r="A19" s="2" t="s">
        <v>73</v>
      </c>
      <c r="B19" s="2">
        <v>15</v>
      </c>
      <c r="C19" s="2" t="s">
        <v>2701</v>
      </c>
      <c r="D19" s="2" t="s">
        <v>2680</v>
      </c>
      <c r="E19" s="2" t="s">
        <v>76</v>
      </c>
      <c r="F19" s="6" t="s">
        <v>2702</v>
      </c>
      <c r="G19" s="6" t="s">
        <v>2703</v>
      </c>
      <c r="H19" s="6" t="s">
        <v>2704</v>
      </c>
      <c r="I19" s="2">
        <v>10</v>
      </c>
      <c r="J19" s="3"/>
      <c r="K19" s="2" t="s">
        <v>2705</v>
      </c>
      <c r="L19" s="2" t="b">
        <f>FALSE()</f>
        <v>0</v>
      </c>
      <c r="M19" s="2" t="b">
        <f>FALSE()</f>
        <v>0</v>
      </c>
      <c r="N19" s="2"/>
    </row>
    <row r="20" spans="1:14" ht="39.75" customHeight="1" x14ac:dyDescent="0.3">
      <c r="A20" s="4" t="s">
        <v>73</v>
      </c>
      <c r="B20" s="4">
        <v>16</v>
      </c>
      <c r="C20" s="4" t="s">
        <v>2706</v>
      </c>
      <c r="D20" s="4" t="s">
        <v>52</v>
      </c>
      <c r="E20" s="4" t="s">
        <v>76</v>
      </c>
      <c r="F20" s="7" t="s">
        <v>2707</v>
      </c>
      <c r="G20" s="7" t="s">
        <v>2708</v>
      </c>
      <c r="H20" s="7" t="s">
        <v>2709</v>
      </c>
      <c r="I20" s="4">
        <v>16</v>
      </c>
      <c r="J20" s="5"/>
      <c r="K20" s="4" t="s">
        <v>2710</v>
      </c>
      <c r="L20" s="4" t="b">
        <f>FALSE()</f>
        <v>0</v>
      </c>
      <c r="M20" s="4" t="b">
        <f>FALSE()</f>
        <v>0</v>
      </c>
      <c r="N20" s="4"/>
    </row>
    <row r="21" spans="1:14" ht="39.75" customHeight="1" x14ac:dyDescent="0.3">
      <c r="A21" s="2" t="s">
        <v>73</v>
      </c>
      <c r="B21" s="2">
        <v>17</v>
      </c>
      <c r="C21" s="2" t="s">
        <v>2711</v>
      </c>
      <c r="D21" s="2" t="s">
        <v>52</v>
      </c>
      <c r="E21" s="2" t="s">
        <v>76</v>
      </c>
      <c r="F21" s="6" t="s">
        <v>2712</v>
      </c>
      <c r="G21" s="6" t="s">
        <v>2713</v>
      </c>
      <c r="H21" s="6" t="s">
        <v>2714</v>
      </c>
      <c r="I21" s="2">
        <v>12</v>
      </c>
      <c r="J21" s="3"/>
      <c r="K21" s="2" t="s">
        <v>2715</v>
      </c>
      <c r="L21" s="2" t="b">
        <f>FALSE()</f>
        <v>0</v>
      </c>
      <c r="M21" s="2" t="b">
        <f>FALSE()</f>
        <v>0</v>
      </c>
      <c r="N21" s="2"/>
    </row>
    <row r="22" spans="1:14" ht="39.75" customHeight="1" x14ac:dyDescent="0.3">
      <c r="A22" s="4" t="s">
        <v>73</v>
      </c>
      <c r="B22" s="4">
        <v>18</v>
      </c>
      <c r="C22" s="4" t="s">
        <v>2716</v>
      </c>
      <c r="D22" s="4" t="s">
        <v>52</v>
      </c>
      <c r="E22" s="4" t="s">
        <v>76</v>
      </c>
      <c r="F22" s="7" t="s">
        <v>2717</v>
      </c>
      <c r="G22" s="7" t="s">
        <v>2718</v>
      </c>
      <c r="H22" s="7" t="s">
        <v>2719</v>
      </c>
      <c r="I22" s="4">
        <v>10</v>
      </c>
      <c r="J22" s="5"/>
      <c r="K22" s="4" t="s">
        <v>2720</v>
      </c>
      <c r="L22" s="4" t="b">
        <f>FALSE()</f>
        <v>0</v>
      </c>
      <c r="M22" s="4" t="b">
        <f>FALSE()</f>
        <v>0</v>
      </c>
      <c r="N22" s="4"/>
    </row>
    <row r="23" spans="1:14" ht="39.75" customHeight="1" x14ac:dyDescent="0.3">
      <c r="A23" s="2" t="s">
        <v>73</v>
      </c>
      <c r="B23" s="2">
        <v>19</v>
      </c>
      <c r="C23" s="2" t="s">
        <v>2721</v>
      </c>
      <c r="D23" s="2" t="s">
        <v>52</v>
      </c>
      <c r="E23" s="2" t="s">
        <v>138</v>
      </c>
      <c r="F23" s="6" t="s">
        <v>2722</v>
      </c>
      <c r="G23" s="6" t="s">
        <v>2723</v>
      </c>
      <c r="H23" s="6" t="s">
        <v>2724</v>
      </c>
      <c r="I23" s="2">
        <v>20</v>
      </c>
      <c r="J23" s="3"/>
      <c r="K23" s="2" t="s">
        <v>2725</v>
      </c>
      <c r="L23" s="2" t="b">
        <f>FALSE()</f>
        <v>0</v>
      </c>
      <c r="M23" s="2" t="b">
        <f>FALSE()</f>
        <v>0</v>
      </c>
      <c r="N23" s="2"/>
    </row>
    <row r="24" spans="1:14" ht="39.75" customHeight="1" x14ac:dyDescent="0.3">
      <c r="A24" s="4" t="s">
        <v>73</v>
      </c>
      <c r="B24" s="4">
        <v>20</v>
      </c>
      <c r="C24" s="4" t="s">
        <v>2726</v>
      </c>
      <c r="D24" s="4" t="s">
        <v>52</v>
      </c>
      <c r="E24" s="4" t="s">
        <v>76</v>
      </c>
      <c r="F24" s="7" t="s">
        <v>2727</v>
      </c>
      <c r="G24" s="7" t="s">
        <v>2728</v>
      </c>
      <c r="H24" s="7" t="s">
        <v>2729</v>
      </c>
      <c r="I24" s="4">
        <v>14</v>
      </c>
      <c r="J24" s="5"/>
      <c r="K24" s="4" t="s">
        <v>2730</v>
      </c>
      <c r="L24" s="4" t="b">
        <f>FALSE()</f>
        <v>0</v>
      </c>
      <c r="M24" s="4" t="b">
        <f>FALSE()</f>
        <v>0</v>
      </c>
      <c r="N24" s="4"/>
    </row>
    <row r="25" spans="1:14" ht="39.75" customHeight="1" x14ac:dyDescent="0.3">
      <c r="A25" s="2" t="s">
        <v>73</v>
      </c>
      <c r="B25" s="2">
        <v>21</v>
      </c>
      <c r="C25" s="2" t="s">
        <v>2731</v>
      </c>
      <c r="D25" s="2" t="s">
        <v>52</v>
      </c>
      <c r="E25" s="2" t="s">
        <v>76</v>
      </c>
      <c r="F25" s="6" t="s">
        <v>2732</v>
      </c>
      <c r="G25" s="6" t="s">
        <v>2713</v>
      </c>
      <c r="H25" s="6" t="s">
        <v>2733</v>
      </c>
      <c r="I25" s="2">
        <v>14</v>
      </c>
      <c r="J25" s="3"/>
      <c r="K25" s="2" t="s">
        <v>2734</v>
      </c>
      <c r="L25" s="2" t="b">
        <f>FALSE()</f>
        <v>0</v>
      </c>
      <c r="M25" s="2" t="b">
        <f>FALSE()</f>
        <v>0</v>
      </c>
      <c r="N25" s="2"/>
    </row>
    <row r="26" spans="1:14" ht="39.75" customHeight="1" x14ac:dyDescent="0.3">
      <c r="A26" s="4" t="s">
        <v>73</v>
      </c>
      <c r="B26" s="4">
        <v>22</v>
      </c>
      <c r="C26" s="4" t="s">
        <v>2735</v>
      </c>
      <c r="D26" s="4" t="s">
        <v>2736</v>
      </c>
      <c r="E26" s="4" t="s">
        <v>76</v>
      </c>
      <c r="F26" s="7" t="s">
        <v>2737</v>
      </c>
      <c r="G26" s="7" t="s">
        <v>2738</v>
      </c>
      <c r="H26" s="7" t="s">
        <v>2739</v>
      </c>
      <c r="I26" s="4">
        <v>16</v>
      </c>
      <c r="J26" s="5"/>
      <c r="K26" s="4" t="s">
        <v>2740</v>
      </c>
      <c r="L26" s="4" t="b">
        <f>FALSE()</f>
        <v>0</v>
      </c>
      <c r="M26" s="4" t="b">
        <f>FALSE()</f>
        <v>0</v>
      </c>
      <c r="N26" s="4"/>
    </row>
    <row r="27" spans="1:14" ht="39.75" customHeight="1" x14ac:dyDescent="0.3">
      <c r="A27" s="2" t="s">
        <v>73</v>
      </c>
      <c r="B27" s="2">
        <v>23</v>
      </c>
      <c r="C27" s="2" t="s">
        <v>2741</v>
      </c>
      <c r="D27" s="2" t="s">
        <v>2736</v>
      </c>
      <c r="E27" s="2" t="s">
        <v>76</v>
      </c>
      <c r="F27" s="6" t="s">
        <v>2742</v>
      </c>
      <c r="G27" s="6" t="s">
        <v>2743</v>
      </c>
      <c r="H27" s="6" t="s">
        <v>2744</v>
      </c>
      <c r="I27" s="2">
        <v>12</v>
      </c>
      <c r="J27" s="3"/>
      <c r="K27" s="2" t="s">
        <v>2745</v>
      </c>
      <c r="L27" s="2" t="b">
        <f>FALSE()</f>
        <v>0</v>
      </c>
      <c r="M27" s="2" t="b">
        <f>FALSE()</f>
        <v>0</v>
      </c>
      <c r="N27" s="2"/>
    </row>
    <row r="28" spans="1:14" ht="39.75" customHeight="1" x14ac:dyDescent="0.3">
      <c r="A28" s="4" t="s">
        <v>73</v>
      </c>
      <c r="B28" s="4">
        <v>24</v>
      </c>
      <c r="C28" s="4" t="s">
        <v>2746</v>
      </c>
      <c r="D28" s="4" t="s">
        <v>2736</v>
      </c>
      <c r="E28" s="4" t="s">
        <v>138</v>
      </c>
      <c r="F28" s="7" t="s">
        <v>2747</v>
      </c>
      <c r="G28" s="7" t="s">
        <v>2748</v>
      </c>
      <c r="H28" s="7" t="s">
        <v>2749</v>
      </c>
      <c r="I28" s="4">
        <v>16</v>
      </c>
      <c r="J28" s="5"/>
      <c r="K28" s="4" t="s">
        <v>2750</v>
      </c>
      <c r="L28" s="4" t="b">
        <f>FALSE()</f>
        <v>0</v>
      </c>
      <c r="M28" s="4" t="b">
        <f>FALSE()</f>
        <v>0</v>
      </c>
      <c r="N28" s="4"/>
    </row>
    <row r="29" spans="1:14" ht="39.75" customHeight="1" x14ac:dyDescent="0.3">
      <c r="A29" s="2" t="s">
        <v>73</v>
      </c>
      <c r="B29" s="2">
        <v>25</v>
      </c>
      <c r="C29" s="2" t="s">
        <v>2751</v>
      </c>
      <c r="D29" s="2" t="s">
        <v>2736</v>
      </c>
      <c r="E29" s="2" t="s">
        <v>138</v>
      </c>
      <c r="F29" s="6" t="s">
        <v>2752</v>
      </c>
      <c r="G29" s="6" t="s">
        <v>2753</v>
      </c>
      <c r="H29" s="6" t="s">
        <v>2754</v>
      </c>
      <c r="I29" s="2">
        <v>18</v>
      </c>
      <c r="J29" s="3"/>
      <c r="K29" s="2" t="s">
        <v>2755</v>
      </c>
      <c r="L29" s="2" t="b">
        <f>FALSE()</f>
        <v>0</v>
      </c>
      <c r="M29" s="2" t="b">
        <f>FALSE()</f>
        <v>0</v>
      </c>
      <c r="N29" s="2"/>
    </row>
    <row r="30" spans="1:14" ht="39.75" customHeight="1" x14ac:dyDescent="0.3">
      <c r="A30" s="4" t="s">
        <v>73</v>
      </c>
      <c r="B30" s="4">
        <v>26</v>
      </c>
      <c r="C30" s="4" t="s">
        <v>2756</v>
      </c>
      <c r="D30" s="4" t="s">
        <v>2757</v>
      </c>
      <c r="E30" s="4" t="s">
        <v>138</v>
      </c>
      <c r="F30" s="7" t="s">
        <v>2758</v>
      </c>
      <c r="G30" s="7" t="s">
        <v>2759</v>
      </c>
      <c r="H30" s="7" t="s">
        <v>2760</v>
      </c>
      <c r="I30" s="4">
        <v>18</v>
      </c>
      <c r="J30" s="5"/>
      <c r="K30" s="4" t="s">
        <v>2761</v>
      </c>
      <c r="L30" s="4" t="b">
        <f>FALSE()</f>
        <v>0</v>
      </c>
      <c r="M30" s="4" t="b">
        <f>FALSE()</f>
        <v>0</v>
      </c>
      <c r="N30" s="4"/>
    </row>
    <row r="31" spans="1:14" ht="39.75" customHeight="1" x14ac:dyDescent="0.3">
      <c r="A31" s="2" t="s">
        <v>73</v>
      </c>
      <c r="B31" s="2">
        <v>27</v>
      </c>
      <c r="C31" s="2" t="s">
        <v>2762</v>
      </c>
      <c r="D31" s="2" t="s">
        <v>2763</v>
      </c>
      <c r="E31" s="2" t="s">
        <v>76</v>
      </c>
      <c r="F31" s="6" t="s">
        <v>2764</v>
      </c>
      <c r="G31" s="6" t="s">
        <v>2765</v>
      </c>
      <c r="H31" s="6" t="s">
        <v>2766</v>
      </c>
      <c r="I31" s="2">
        <v>14</v>
      </c>
      <c r="J31" s="3"/>
      <c r="K31" s="2" t="s">
        <v>2767</v>
      </c>
      <c r="L31" s="2" t="b">
        <f>FALSE()</f>
        <v>0</v>
      </c>
      <c r="M31" s="2" t="b">
        <f>FALSE()</f>
        <v>0</v>
      </c>
      <c r="N31" s="2"/>
    </row>
    <row r="32" spans="1:14" ht="39.75" customHeight="1" x14ac:dyDescent="0.3">
      <c r="A32" s="4" t="s">
        <v>73</v>
      </c>
      <c r="B32" s="4">
        <v>28</v>
      </c>
      <c r="C32" s="4" t="s">
        <v>2768</v>
      </c>
      <c r="D32" s="4" t="s">
        <v>2763</v>
      </c>
      <c r="E32" s="4" t="s">
        <v>138</v>
      </c>
      <c r="F32" s="7" t="s">
        <v>2769</v>
      </c>
      <c r="G32" s="7" t="s">
        <v>2770</v>
      </c>
      <c r="H32" s="7" t="s">
        <v>2771</v>
      </c>
      <c r="I32" s="4">
        <v>12</v>
      </c>
      <c r="J32" s="5"/>
      <c r="K32" s="4" t="s">
        <v>2772</v>
      </c>
      <c r="L32" s="4" t="b">
        <f>FALSE()</f>
        <v>0</v>
      </c>
      <c r="M32" s="4" t="b">
        <f>FALSE()</f>
        <v>0</v>
      </c>
      <c r="N32" s="4"/>
    </row>
    <row r="33" spans="1:14" ht="39.75" customHeight="1" x14ac:dyDescent="0.3">
      <c r="A33" s="2" t="s">
        <v>73</v>
      </c>
      <c r="B33" s="2">
        <v>29</v>
      </c>
      <c r="C33" s="2" t="s">
        <v>2773</v>
      </c>
      <c r="D33" s="2" t="s">
        <v>2763</v>
      </c>
      <c r="E33" s="2" t="s">
        <v>138</v>
      </c>
      <c r="F33" s="6" t="s">
        <v>2774</v>
      </c>
      <c r="G33" s="6" t="s">
        <v>2770</v>
      </c>
      <c r="H33" s="6" t="s">
        <v>2775</v>
      </c>
      <c r="I33" s="2">
        <v>24</v>
      </c>
      <c r="J33" s="3"/>
      <c r="K33" s="2" t="s">
        <v>2776</v>
      </c>
      <c r="L33" s="2" t="b">
        <f>FALSE()</f>
        <v>0</v>
      </c>
      <c r="M33" s="2" t="b">
        <f>FALSE()</f>
        <v>0</v>
      </c>
      <c r="N33" s="2"/>
    </row>
    <row r="34" spans="1:14" ht="39.75" customHeight="1" x14ac:dyDescent="0.3">
      <c r="A34" s="4" t="s">
        <v>73</v>
      </c>
      <c r="B34" s="4">
        <v>30</v>
      </c>
      <c r="C34" s="4" t="s">
        <v>2777</v>
      </c>
      <c r="D34" s="4" t="s">
        <v>2763</v>
      </c>
      <c r="E34" s="4" t="s">
        <v>138</v>
      </c>
      <c r="F34" s="7" t="s">
        <v>2778</v>
      </c>
      <c r="G34" s="7" t="s">
        <v>2779</v>
      </c>
      <c r="H34" s="7" t="s">
        <v>2780</v>
      </c>
      <c r="I34" s="4">
        <v>14</v>
      </c>
      <c r="J34" s="5"/>
      <c r="K34" s="4" t="s">
        <v>2781</v>
      </c>
      <c r="L34" s="4" t="b">
        <f>FALSE()</f>
        <v>0</v>
      </c>
      <c r="M34" s="4" t="b">
        <f>FALSE()</f>
        <v>0</v>
      </c>
      <c r="N34" s="4"/>
    </row>
    <row r="35" spans="1:14" ht="39.75" customHeight="1" x14ac:dyDescent="0.3">
      <c r="A35" s="2" t="s">
        <v>73</v>
      </c>
      <c r="B35" s="2">
        <v>31</v>
      </c>
      <c r="C35" s="2" t="s">
        <v>2782</v>
      </c>
      <c r="D35" s="2" t="s">
        <v>2763</v>
      </c>
      <c r="E35" s="2" t="s">
        <v>138</v>
      </c>
      <c r="F35" s="6" t="s">
        <v>2783</v>
      </c>
      <c r="G35" s="6" t="s">
        <v>2784</v>
      </c>
      <c r="H35" s="6" t="s">
        <v>2785</v>
      </c>
      <c r="I35" s="2">
        <v>20</v>
      </c>
      <c r="J35" s="3"/>
      <c r="K35" s="2" t="s">
        <v>2786</v>
      </c>
      <c r="L35" s="2" t="b">
        <f>FALSE()</f>
        <v>0</v>
      </c>
      <c r="M35" s="2" t="b">
        <f>FALSE()</f>
        <v>0</v>
      </c>
      <c r="N35" s="2"/>
    </row>
    <row r="36" spans="1:14" ht="39.75" customHeight="1" x14ac:dyDescent="0.3">
      <c r="A36" s="4" t="s">
        <v>73</v>
      </c>
      <c r="B36" s="4">
        <v>32</v>
      </c>
      <c r="C36" s="4" t="s">
        <v>2787</v>
      </c>
      <c r="D36" s="4" t="s">
        <v>54</v>
      </c>
      <c r="E36" s="4" t="s">
        <v>76</v>
      </c>
      <c r="F36" s="7" t="s">
        <v>2788</v>
      </c>
      <c r="G36" s="7" t="s">
        <v>2789</v>
      </c>
      <c r="H36" s="7" t="s">
        <v>2790</v>
      </c>
      <c r="I36" s="4">
        <v>14</v>
      </c>
      <c r="J36" s="5"/>
      <c r="K36" s="4" t="s">
        <v>2791</v>
      </c>
      <c r="L36" s="4" t="b">
        <f>FALSE()</f>
        <v>0</v>
      </c>
      <c r="M36" s="4" t="b">
        <f>FALSE()</f>
        <v>0</v>
      </c>
      <c r="N36" s="4"/>
    </row>
    <row r="37" spans="1:14" ht="39.75" customHeight="1" x14ac:dyDescent="0.3">
      <c r="A37" s="2" t="s">
        <v>73</v>
      </c>
      <c r="B37" s="2">
        <v>33</v>
      </c>
      <c r="C37" s="2" t="s">
        <v>2792</v>
      </c>
      <c r="D37" s="2" t="s">
        <v>54</v>
      </c>
      <c r="E37" s="2" t="s">
        <v>138</v>
      </c>
      <c r="F37" s="6" t="s">
        <v>2793</v>
      </c>
      <c r="G37" s="6" t="s">
        <v>2794</v>
      </c>
      <c r="H37" s="6" t="s">
        <v>2795</v>
      </c>
      <c r="I37" s="2">
        <v>18</v>
      </c>
      <c r="J37" s="3"/>
      <c r="K37" s="2" t="s">
        <v>2796</v>
      </c>
      <c r="L37" s="2" t="b">
        <f>FALSE()</f>
        <v>0</v>
      </c>
      <c r="M37" s="2" t="b">
        <f>FALSE()</f>
        <v>0</v>
      </c>
      <c r="N37" s="2"/>
    </row>
    <row r="38" spans="1:14" ht="39.75" customHeight="1" x14ac:dyDescent="0.3">
      <c r="A38" s="4" t="s">
        <v>73</v>
      </c>
      <c r="B38" s="4">
        <v>34</v>
      </c>
      <c r="C38" s="4" t="s">
        <v>2797</v>
      </c>
      <c r="D38" s="4" t="s">
        <v>54</v>
      </c>
      <c r="E38" s="4" t="s">
        <v>138</v>
      </c>
      <c r="F38" s="7" t="s">
        <v>2798</v>
      </c>
      <c r="G38" s="7" t="s">
        <v>2799</v>
      </c>
      <c r="H38" s="7" t="s">
        <v>2800</v>
      </c>
      <c r="I38" s="4">
        <v>12</v>
      </c>
      <c r="J38" s="5"/>
      <c r="K38" s="4" t="s">
        <v>2801</v>
      </c>
      <c r="L38" s="4" t="b">
        <f>FALSE()</f>
        <v>0</v>
      </c>
      <c r="M38" s="4" t="b">
        <f>FALSE()</f>
        <v>0</v>
      </c>
      <c r="N38" s="4"/>
    </row>
    <row r="39" spans="1:14" ht="39.75" customHeight="1" x14ac:dyDescent="0.3">
      <c r="A39" s="2" t="s">
        <v>73</v>
      </c>
      <c r="B39" s="2">
        <v>35</v>
      </c>
      <c r="C39" s="2" t="s">
        <v>2802</v>
      </c>
      <c r="D39" s="2" t="s">
        <v>54</v>
      </c>
      <c r="E39" s="2" t="s">
        <v>76</v>
      </c>
      <c r="F39" s="6" t="s">
        <v>2803</v>
      </c>
      <c r="G39" s="6" t="s">
        <v>2804</v>
      </c>
      <c r="H39" s="6" t="s">
        <v>2805</v>
      </c>
      <c r="I39" s="2">
        <v>12</v>
      </c>
      <c r="J39" s="3"/>
      <c r="K39" s="2" t="s">
        <v>2806</v>
      </c>
      <c r="L39" s="2" t="b">
        <f>FALSE()</f>
        <v>0</v>
      </c>
      <c r="M39" s="2" t="b">
        <f>FALSE()</f>
        <v>0</v>
      </c>
      <c r="N39" s="2"/>
    </row>
    <row r="40" spans="1:14" ht="39.75" customHeight="1" x14ac:dyDescent="0.3">
      <c r="A40" s="4" t="s">
        <v>73</v>
      </c>
      <c r="B40" s="4">
        <v>36</v>
      </c>
      <c r="C40" s="4" t="s">
        <v>2807</v>
      </c>
      <c r="D40" s="4" t="s">
        <v>54</v>
      </c>
      <c r="E40" s="4" t="s">
        <v>76</v>
      </c>
      <c r="F40" s="7" t="s">
        <v>2808</v>
      </c>
      <c r="G40" s="7" t="s">
        <v>2809</v>
      </c>
      <c r="H40" s="7" t="s">
        <v>2810</v>
      </c>
      <c r="I40" s="4">
        <v>12</v>
      </c>
      <c r="J40" s="5"/>
      <c r="K40" s="4" t="s">
        <v>2811</v>
      </c>
      <c r="L40" s="4" t="b">
        <f>FALSE()</f>
        <v>0</v>
      </c>
      <c r="M40" s="4" t="b">
        <f>FALSE()</f>
        <v>0</v>
      </c>
      <c r="N40" s="4"/>
    </row>
    <row r="41" spans="1:14" ht="39.75" customHeight="1" x14ac:dyDescent="0.3">
      <c r="A41" s="2" t="s">
        <v>73</v>
      </c>
      <c r="B41" s="2">
        <v>37</v>
      </c>
      <c r="C41" s="2" t="s">
        <v>2812</v>
      </c>
      <c r="D41" s="2" t="s">
        <v>2813</v>
      </c>
      <c r="E41" s="2" t="s">
        <v>138</v>
      </c>
      <c r="F41" s="6" t="s">
        <v>2814</v>
      </c>
      <c r="G41" s="6" t="s">
        <v>2815</v>
      </c>
      <c r="H41" s="6" t="s">
        <v>2816</v>
      </c>
      <c r="I41" s="2">
        <v>30</v>
      </c>
      <c r="J41" s="3"/>
      <c r="K41" s="2" t="s">
        <v>2817</v>
      </c>
      <c r="L41" s="2" t="b">
        <f>FALSE()</f>
        <v>0</v>
      </c>
      <c r="M41" s="2" t="b">
        <f>FALSE()</f>
        <v>0</v>
      </c>
      <c r="N41" s="2"/>
    </row>
    <row r="42" spans="1:14" ht="39.75" customHeight="1" x14ac:dyDescent="0.3">
      <c r="A42" s="4" t="s">
        <v>73</v>
      </c>
      <c r="B42" s="4">
        <v>38</v>
      </c>
      <c r="C42" s="4" t="s">
        <v>2818</v>
      </c>
      <c r="D42" s="4" t="s">
        <v>2813</v>
      </c>
      <c r="E42" s="4" t="s">
        <v>138</v>
      </c>
      <c r="F42" s="7" t="s">
        <v>2819</v>
      </c>
      <c r="G42" s="7" t="s">
        <v>2820</v>
      </c>
      <c r="H42" s="7" t="s">
        <v>2821</v>
      </c>
      <c r="I42" s="4">
        <v>30</v>
      </c>
      <c r="J42" s="5"/>
      <c r="K42" s="4" t="s">
        <v>2822</v>
      </c>
      <c r="L42" s="4" t="b">
        <f>FALSE()</f>
        <v>0</v>
      </c>
      <c r="M42" s="4" t="b">
        <f>FALSE()</f>
        <v>0</v>
      </c>
      <c r="N42" s="4"/>
    </row>
    <row r="43" spans="1:14" ht="39.75" customHeight="1" x14ac:dyDescent="0.3">
      <c r="A43" s="2" t="s">
        <v>73</v>
      </c>
      <c r="B43" s="2">
        <v>39</v>
      </c>
      <c r="C43" s="2" t="s">
        <v>2823</v>
      </c>
      <c r="D43" s="2" t="s">
        <v>2813</v>
      </c>
      <c r="E43" s="2" t="s">
        <v>138</v>
      </c>
      <c r="F43" s="6" t="s">
        <v>2824</v>
      </c>
      <c r="G43" s="6" t="s">
        <v>2825</v>
      </c>
      <c r="H43" s="6" t="s">
        <v>2826</v>
      </c>
      <c r="I43" s="2">
        <v>35</v>
      </c>
      <c r="J43" s="3"/>
      <c r="K43" s="2" t="s">
        <v>2827</v>
      </c>
      <c r="L43" s="2" t="b">
        <f>FALSE()</f>
        <v>0</v>
      </c>
      <c r="M43" s="2" t="b">
        <f>FALSE()</f>
        <v>0</v>
      </c>
      <c r="N43" s="2"/>
    </row>
    <row r="44" spans="1:14" ht="39.75" customHeight="1" x14ac:dyDescent="0.3">
      <c r="A44" s="4" t="s">
        <v>73</v>
      </c>
      <c r="B44" s="4">
        <v>40</v>
      </c>
      <c r="C44" s="4" t="s">
        <v>2828</v>
      </c>
      <c r="D44" s="4" t="s">
        <v>2813</v>
      </c>
      <c r="E44" s="4" t="s">
        <v>138</v>
      </c>
      <c r="F44" s="7" t="s">
        <v>2829</v>
      </c>
      <c r="G44" s="7" t="s">
        <v>2830</v>
      </c>
      <c r="H44" s="7" t="s">
        <v>2831</v>
      </c>
      <c r="I44" s="4">
        <v>35</v>
      </c>
      <c r="J44" s="5"/>
      <c r="K44" s="4" t="s">
        <v>2832</v>
      </c>
      <c r="L44" s="4" t="b">
        <f>FALSE()</f>
        <v>0</v>
      </c>
      <c r="M44" s="4" t="b">
        <f>FALSE()</f>
        <v>0</v>
      </c>
      <c r="N44" s="4"/>
    </row>
    <row r="45" spans="1:14" ht="39.75" customHeight="1" x14ac:dyDescent="0.3">
      <c r="A45" s="2" t="s">
        <v>73</v>
      </c>
      <c r="B45" s="2">
        <v>41</v>
      </c>
      <c r="C45" s="2" t="s">
        <v>2833</v>
      </c>
      <c r="D45" s="2" t="s">
        <v>2813</v>
      </c>
      <c r="E45" s="2" t="s">
        <v>138</v>
      </c>
      <c r="F45" s="6" t="s">
        <v>2834</v>
      </c>
      <c r="G45" s="6" t="s">
        <v>2835</v>
      </c>
      <c r="H45" s="6" t="s">
        <v>2836</v>
      </c>
      <c r="I45" s="2">
        <v>40</v>
      </c>
      <c r="J45" s="3"/>
      <c r="K45" s="2" t="s">
        <v>2837</v>
      </c>
      <c r="L45" s="2" t="b">
        <f>FALSE()</f>
        <v>0</v>
      </c>
      <c r="M45" s="2" t="b">
        <f>FALSE()</f>
        <v>0</v>
      </c>
      <c r="N45" s="2"/>
    </row>
    <row r="46" spans="1:14" ht="39.75" customHeight="1" x14ac:dyDescent="0.3">
      <c r="A46" s="4" t="s">
        <v>73</v>
      </c>
      <c r="B46" s="4">
        <v>42</v>
      </c>
      <c r="C46" s="4" t="s">
        <v>2838</v>
      </c>
      <c r="D46" s="4" t="s">
        <v>2691</v>
      </c>
      <c r="E46" s="4" t="s">
        <v>76</v>
      </c>
      <c r="F46" s="7" t="s">
        <v>2839</v>
      </c>
      <c r="G46" s="7" t="s">
        <v>2840</v>
      </c>
      <c r="H46" s="7" t="s">
        <v>2841</v>
      </c>
      <c r="I46" s="4">
        <v>14</v>
      </c>
      <c r="J46" s="5"/>
      <c r="K46" s="4" t="s">
        <v>2842</v>
      </c>
      <c r="L46" s="4" t="b">
        <f>FALSE()</f>
        <v>0</v>
      </c>
      <c r="M46" s="4" t="b">
        <f>FALSE()</f>
        <v>0</v>
      </c>
      <c r="N46" s="4"/>
    </row>
    <row r="47" spans="1:14" ht="39.75" customHeight="1" x14ac:dyDescent="0.3">
      <c r="A47" s="2" t="s">
        <v>73</v>
      </c>
      <c r="B47" s="2">
        <v>43</v>
      </c>
      <c r="C47" s="2" t="s">
        <v>2843</v>
      </c>
      <c r="D47" s="2" t="s">
        <v>2680</v>
      </c>
      <c r="E47" s="2" t="s">
        <v>76</v>
      </c>
      <c r="F47" s="6" t="s">
        <v>2844</v>
      </c>
      <c r="G47" s="6" t="s">
        <v>2845</v>
      </c>
      <c r="H47" s="6" t="s">
        <v>2846</v>
      </c>
      <c r="I47" s="2">
        <v>16</v>
      </c>
      <c r="J47" s="3"/>
      <c r="K47" s="2" t="s">
        <v>2847</v>
      </c>
      <c r="L47" s="2" t="b">
        <f>FALSE()</f>
        <v>0</v>
      </c>
      <c r="M47" s="2" t="b">
        <f>FALSE()</f>
        <v>0</v>
      </c>
      <c r="N47" s="2"/>
    </row>
    <row r="48" spans="1:14" ht="39.75" customHeight="1" x14ac:dyDescent="0.3">
      <c r="A48" s="4" t="s">
        <v>73</v>
      </c>
      <c r="B48" s="4">
        <v>44</v>
      </c>
      <c r="C48" s="4" t="s">
        <v>2848</v>
      </c>
      <c r="D48" s="4" t="s">
        <v>52</v>
      </c>
      <c r="E48" s="4" t="s">
        <v>76</v>
      </c>
      <c r="F48" s="7" t="s">
        <v>2849</v>
      </c>
      <c r="G48" s="7" t="s">
        <v>2850</v>
      </c>
      <c r="H48" s="7" t="s">
        <v>2851</v>
      </c>
      <c r="I48" s="4">
        <v>12</v>
      </c>
      <c r="J48" s="5"/>
      <c r="K48" s="4" t="s">
        <v>2852</v>
      </c>
      <c r="L48" s="4" t="b">
        <f>FALSE()</f>
        <v>0</v>
      </c>
      <c r="M48" s="4" t="b">
        <f>FALSE()</f>
        <v>0</v>
      </c>
      <c r="N48" s="4"/>
    </row>
    <row r="49" spans="1:14" ht="39.75" customHeight="1" x14ac:dyDescent="0.3">
      <c r="A49" s="2" t="s">
        <v>73</v>
      </c>
      <c r="B49" s="2">
        <v>45</v>
      </c>
      <c r="C49" s="2" t="s">
        <v>2853</v>
      </c>
      <c r="D49" s="2" t="s">
        <v>52</v>
      </c>
      <c r="E49" s="2" t="s">
        <v>138</v>
      </c>
      <c r="F49" s="6" t="s">
        <v>2854</v>
      </c>
      <c r="G49" s="6" t="s">
        <v>2676</v>
      </c>
      <c r="H49" s="6" t="s">
        <v>2855</v>
      </c>
      <c r="I49" s="2">
        <v>16</v>
      </c>
      <c r="J49" s="3"/>
      <c r="K49" s="2" t="s">
        <v>2856</v>
      </c>
      <c r="L49" s="2" t="b">
        <f>FALSE()</f>
        <v>0</v>
      </c>
      <c r="M49" s="2" t="b">
        <f>FALSE()</f>
        <v>0</v>
      </c>
      <c r="N49" s="2"/>
    </row>
    <row r="50" spans="1:14" ht="39.75" customHeight="1" x14ac:dyDescent="0.3">
      <c r="A50" s="4" t="s">
        <v>73</v>
      </c>
      <c r="B50" s="4">
        <v>46</v>
      </c>
      <c r="C50" s="4" t="s">
        <v>2857</v>
      </c>
      <c r="D50" s="4" t="s">
        <v>2858</v>
      </c>
      <c r="E50" s="4" t="s">
        <v>2628</v>
      </c>
      <c r="F50" s="7" t="s">
        <v>2859</v>
      </c>
      <c r="G50" s="7" t="s">
        <v>2860</v>
      </c>
      <c r="H50" s="7" t="s">
        <v>2861</v>
      </c>
      <c r="I50" s="4">
        <v>8</v>
      </c>
      <c r="J50" s="5"/>
      <c r="K50" s="4" t="s">
        <v>2862</v>
      </c>
      <c r="L50" s="4" t="b">
        <f>FALSE()</f>
        <v>0</v>
      </c>
      <c r="M50" s="4" t="b">
        <f>FALSE()</f>
        <v>0</v>
      </c>
      <c r="N50" s="4"/>
    </row>
    <row r="51" spans="1:14" ht="39.75" customHeight="1" x14ac:dyDescent="0.3">
      <c r="A51" s="2" t="s">
        <v>73</v>
      </c>
      <c r="B51" s="2">
        <v>47</v>
      </c>
      <c r="C51" s="2" t="s">
        <v>2863</v>
      </c>
      <c r="D51" s="2" t="s">
        <v>2858</v>
      </c>
      <c r="E51" s="2" t="s">
        <v>2628</v>
      </c>
      <c r="F51" s="6" t="s">
        <v>2864</v>
      </c>
      <c r="G51" s="6" t="s">
        <v>2865</v>
      </c>
      <c r="H51" s="6" t="s">
        <v>2866</v>
      </c>
      <c r="I51" s="2">
        <v>10</v>
      </c>
      <c r="J51" s="3"/>
      <c r="K51" s="2" t="s">
        <v>2867</v>
      </c>
      <c r="L51" s="2" t="b">
        <f>FALSE()</f>
        <v>0</v>
      </c>
      <c r="M51" s="2" t="b">
        <f>FALSE()</f>
        <v>0</v>
      </c>
      <c r="N51" s="2"/>
    </row>
    <row r="52" spans="1:14" ht="39.75" customHeight="1" x14ac:dyDescent="0.3">
      <c r="A52" s="4" t="s">
        <v>73</v>
      </c>
      <c r="B52" s="4">
        <v>48</v>
      </c>
      <c r="C52" s="4" t="s">
        <v>2868</v>
      </c>
      <c r="D52" s="4" t="s">
        <v>2869</v>
      </c>
      <c r="E52" s="4" t="s">
        <v>138</v>
      </c>
      <c r="F52" s="7" t="s">
        <v>2870</v>
      </c>
      <c r="G52" s="7" t="s">
        <v>2871</v>
      </c>
      <c r="H52" s="7" t="s">
        <v>2872</v>
      </c>
      <c r="I52" s="4">
        <v>20</v>
      </c>
      <c r="J52" s="5"/>
      <c r="K52" s="4" t="s">
        <v>2873</v>
      </c>
      <c r="L52" s="4" t="b">
        <f>FALSE()</f>
        <v>0</v>
      </c>
      <c r="M52" s="4" t="b">
        <f>FALSE()</f>
        <v>0</v>
      </c>
      <c r="N52" s="4"/>
    </row>
    <row r="53" spans="1:14" ht="39.75" customHeight="1" x14ac:dyDescent="0.3">
      <c r="A53" s="2" t="s">
        <v>73</v>
      </c>
      <c r="B53" s="2">
        <v>49</v>
      </c>
      <c r="C53" s="2" t="s">
        <v>2874</v>
      </c>
      <c r="D53" s="2" t="s">
        <v>52</v>
      </c>
      <c r="E53" s="2" t="s">
        <v>138</v>
      </c>
      <c r="F53" s="6" t="s">
        <v>2875</v>
      </c>
      <c r="G53" s="6" t="s">
        <v>2713</v>
      </c>
      <c r="H53" s="6" t="s">
        <v>2876</v>
      </c>
      <c r="I53" s="2">
        <v>20</v>
      </c>
      <c r="J53" s="3"/>
      <c r="K53" s="2" t="s">
        <v>2877</v>
      </c>
      <c r="L53" s="2" t="b">
        <f>FALSE()</f>
        <v>0</v>
      </c>
      <c r="M53" s="2" t="b">
        <f>FALSE()</f>
        <v>0</v>
      </c>
      <c r="N53" s="2"/>
    </row>
    <row r="54" spans="1:14" ht="39.75" customHeight="1" x14ac:dyDescent="0.3">
      <c r="A54" s="4" t="s">
        <v>73</v>
      </c>
      <c r="B54" s="4">
        <v>50</v>
      </c>
      <c r="C54" s="4" t="s">
        <v>2878</v>
      </c>
      <c r="D54" s="4" t="s">
        <v>2736</v>
      </c>
      <c r="E54" s="4" t="s">
        <v>138</v>
      </c>
      <c r="F54" s="7" t="s">
        <v>2879</v>
      </c>
      <c r="G54" s="7" t="s">
        <v>2880</v>
      </c>
      <c r="H54" s="7" t="s">
        <v>2881</v>
      </c>
      <c r="I54" s="4">
        <v>16</v>
      </c>
      <c r="J54" s="5"/>
      <c r="K54" s="4" t="s">
        <v>2882</v>
      </c>
      <c r="L54" s="4" t="b">
        <f>FALSE()</f>
        <v>0</v>
      </c>
      <c r="M54" s="4" t="b">
        <f>FALSE()</f>
        <v>0</v>
      </c>
      <c r="N54" s="4"/>
    </row>
    <row r="55" spans="1:14" ht="39.75" customHeight="1" x14ac:dyDescent="0.3">
      <c r="A55" s="2" t="s">
        <v>73</v>
      </c>
      <c r="B55" s="2">
        <v>51</v>
      </c>
      <c r="C55" s="2" t="s">
        <v>2883</v>
      </c>
      <c r="D55" s="2" t="s">
        <v>2757</v>
      </c>
      <c r="E55" s="2" t="s">
        <v>76</v>
      </c>
      <c r="F55" s="6" t="s">
        <v>2884</v>
      </c>
      <c r="G55" s="6" t="s">
        <v>2885</v>
      </c>
      <c r="H55" s="6" t="s">
        <v>2886</v>
      </c>
      <c r="I55" s="2">
        <v>12</v>
      </c>
      <c r="J55" s="3"/>
      <c r="K55" s="2" t="s">
        <v>2887</v>
      </c>
      <c r="L55" s="2" t="b">
        <f>FALSE()</f>
        <v>0</v>
      </c>
      <c r="M55" s="2" t="b">
        <f>FALSE()</f>
        <v>0</v>
      </c>
      <c r="N55" s="2"/>
    </row>
    <row r="56" spans="1:14" ht="39.75" customHeight="1" x14ac:dyDescent="0.3">
      <c r="A56" s="4" t="s">
        <v>73</v>
      </c>
      <c r="B56" s="4">
        <v>52</v>
      </c>
      <c r="C56" s="4" t="s">
        <v>2888</v>
      </c>
      <c r="D56" s="4" t="s">
        <v>2757</v>
      </c>
      <c r="E56" s="4" t="s">
        <v>2628</v>
      </c>
      <c r="F56" s="7" t="s">
        <v>2889</v>
      </c>
      <c r="G56" s="7" t="s">
        <v>2890</v>
      </c>
      <c r="H56" s="7" t="s">
        <v>2891</v>
      </c>
      <c r="I56" s="4">
        <v>10</v>
      </c>
      <c r="J56" s="5"/>
      <c r="K56" s="4" t="s">
        <v>2892</v>
      </c>
      <c r="L56" s="4" t="b">
        <f>FALSE()</f>
        <v>0</v>
      </c>
      <c r="M56" s="4" t="b">
        <f>FALSE()</f>
        <v>0</v>
      </c>
      <c r="N56" s="4"/>
    </row>
  </sheetData>
  <autoFilter ref="A4:N4" xr:uid="{00000000-0009-0000-0000-000010000000}"/>
  <mergeCells count="3">
    <mergeCell ref="A1:N1"/>
    <mergeCell ref="A2:N2"/>
    <mergeCell ref="A3:M3"/>
  </mergeCells>
  <conditionalFormatting sqref="A5:A56">
    <cfRule type="expression" dxfId="51" priority="7">
      <formula>$A5="Completed"</formula>
    </cfRule>
    <cfRule type="expression" dxfId="50" priority="8">
      <formula>$A5="In Progress"</formula>
    </cfRule>
    <cfRule type="expression" dxfId="49" priority="9">
      <formula>$A5="Not Started"</formula>
    </cfRule>
    <cfRule type="expression" dxfId="48" priority="10">
      <formula>$A5="Research"</formula>
    </cfRule>
    <cfRule type="expression" dxfId="47" priority="11">
      <formula>$A5="Project"</formula>
    </cfRule>
    <cfRule type="expression" dxfId="46" priority="12">
      <formula>$A5="Optional"</formula>
    </cfRule>
  </conditionalFormatting>
  <conditionalFormatting sqref="L5:L56">
    <cfRule type="expression" dxfId="45" priority="3">
      <formula>$L5=1</formula>
    </cfRule>
    <cfRule type="expression" dxfId="44" priority="4">
      <formula>$L5=0</formula>
    </cfRule>
  </conditionalFormatting>
  <conditionalFormatting sqref="M5:M56">
    <cfRule type="expression" dxfId="43" priority="5">
      <formula>$M5=1</formula>
    </cfRule>
    <cfRule type="expression" dxfId="42" priority="6">
      <formula>$M5=0</formula>
    </cfRule>
  </conditionalFormatting>
  <conditionalFormatting sqref="N3">
    <cfRule type="dataBar" priority="2">
      <dataBar>
        <cfvo type="num" val="0"/>
        <cfvo type="num" val="100"/>
        <color rgb="FF8FC1E9"/>
      </dataBar>
      <extLst>
        <ext xmlns:x14="http://schemas.microsoft.com/office/spreadsheetml/2009/9/main" uri="{B025F937-C7B1-47D3-B67F-A62EFF666E3E}">
          <x14:id>{3E342026-5BFE-4300-A1BB-66F4CE4CAF83}</x14:id>
        </ext>
      </extLst>
    </cfRule>
  </conditionalFormatting>
  <dataValidations count="2">
    <dataValidation type="list" allowBlank="1" sqref="L5:M56" xr:uid="{00000000-0002-0000-1000-000000000000}">
      <formula1>"TRUE,FALSE"</formula1>
      <formula2>0</formula2>
    </dataValidation>
    <dataValidation type="list" allowBlank="1" sqref="A5:A56" xr:uid="{00000000-0002-0000-1000-000002000000}">
      <formula1>"Completed,In Progress,Not Started,Research,Project,Optional"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E342026-5BFE-4300-A1BB-66F4CE4CAF83}">
            <x14:dataBar axisPosition="none">
              <x14:cfvo type="num">
                <xm:f>0</xm:f>
              </x14:cfvo>
              <x14:cfvo type="num">
                <xm:f>100</xm:f>
              </x14:cfvo>
              <x14:negativeFillColor rgb="FF8FC1E9"/>
            </x14:dataBar>
          </x14:cfRule>
          <xm:sqref>N3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50"/>
  <sheetViews>
    <sheetView showGridLines="0" zoomScaleNormal="100" workbookViewId="0">
      <pane ySplit="4" topLeftCell="A116" activePane="bottomLeft" state="frozen"/>
      <selection pane="bottomLeft" sqref="A1:E1"/>
    </sheetView>
  </sheetViews>
  <sheetFormatPr defaultColWidth="8.6640625" defaultRowHeight="14.4" x14ac:dyDescent="0.3"/>
  <cols>
    <col min="1" max="1" width="22" customWidth="1"/>
    <col min="2" max="2" width="62" customWidth="1"/>
    <col min="3" max="4" width="11" customWidth="1"/>
    <col min="5" max="5" width="26" customWidth="1"/>
  </cols>
  <sheetData>
    <row r="1" spans="1:5" ht="33.75" customHeight="1" x14ac:dyDescent="0.3">
      <c r="A1" s="19" t="s">
        <v>2893</v>
      </c>
      <c r="B1" s="19"/>
      <c r="C1" s="19"/>
      <c r="D1" s="19"/>
      <c r="E1" s="19"/>
    </row>
    <row r="2" spans="1:5" ht="15" customHeight="1" x14ac:dyDescent="0.3">
      <c r="A2" s="20" t="s">
        <v>2894</v>
      </c>
      <c r="B2" s="20"/>
      <c r="C2" s="20"/>
      <c r="D2" s="20"/>
      <c r="E2" s="20"/>
    </row>
    <row r="3" spans="1:5" ht="15" customHeight="1" x14ac:dyDescent="0.3">
      <c r="A3" s="21" t="s">
        <v>2895</v>
      </c>
      <c r="B3" s="21"/>
      <c r="C3" s="21"/>
      <c r="D3" s="21"/>
      <c r="E3" s="12">
        <f>ROUND(COUNTIF(D5:D150,TRUE())/134*100,0)</f>
        <v>0</v>
      </c>
    </row>
    <row r="4" spans="1:5" ht="31.5" customHeight="1" x14ac:dyDescent="0.3">
      <c r="A4" s="1" t="s">
        <v>2338</v>
      </c>
      <c r="B4" s="1" t="s">
        <v>2896</v>
      </c>
      <c r="C4" s="1" t="s">
        <v>59</v>
      </c>
      <c r="D4" s="1" t="s">
        <v>2897</v>
      </c>
      <c r="E4" s="1" t="s">
        <v>11</v>
      </c>
    </row>
    <row r="5" spans="1:5" ht="19.5" customHeight="1" x14ac:dyDescent="0.3">
      <c r="A5" s="18" t="s">
        <v>2898</v>
      </c>
      <c r="B5" s="18"/>
      <c r="C5" s="18"/>
      <c r="D5" s="18"/>
      <c r="E5" s="18"/>
    </row>
    <row r="6" spans="1:5" ht="30" customHeight="1" x14ac:dyDescent="0.3">
      <c r="A6" s="2" t="s">
        <v>2630</v>
      </c>
      <c r="B6" s="6" t="s">
        <v>2899</v>
      </c>
      <c r="C6" s="2" t="s">
        <v>2356</v>
      </c>
      <c r="D6" s="2" t="b">
        <f>FALSE()</f>
        <v>0</v>
      </c>
      <c r="E6" s="2" t="s">
        <v>2900</v>
      </c>
    </row>
    <row r="7" spans="1:5" ht="30" customHeight="1" x14ac:dyDescent="0.3">
      <c r="A7" s="4" t="s">
        <v>2630</v>
      </c>
      <c r="B7" s="7" t="s">
        <v>2901</v>
      </c>
      <c r="C7" s="4" t="s">
        <v>2902</v>
      </c>
      <c r="D7" s="4" t="b">
        <f>FALSE()</f>
        <v>0</v>
      </c>
      <c r="E7" s="4" t="s">
        <v>2903</v>
      </c>
    </row>
    <row r="8" spans="1:5" ht="30" customHeight="1" x14ac:dyDescent="0.3">
      <c r="A8" s="2" t="s">
        <v>2630</v>
      </c>
      <c r="B8" s="6" t="s">
        <v>2904</v>
      </c>
      <c r="C8" s="2" t="s">
        <v>2902</v>
      </c>
      <c r="D8" s="2" t="b">
        <f>FALSE()</f>
        <v>0</v>
      </c>
      <c r="E8" s="2"/>
    </row>
    <row r="9" spans="1:5" ht="30" customHeight="1" x14ac:dyDescent="0.3">
      <c r="A9" s="4" t="s">
        <v>2630</v>
      </c>
      <c r="B9" s="7" t="s">
        <v>2905</v>
      </c>
      <c r="C9" s="4" t="s">
        <v>2356</v>
      </c>
      <c r="D9" s="4" t="b">
        <f>FALSE()</f>
        <v>0</v>
      </c>
      <c r="E9" s="4" t="s">
        <v>2906</v>
      </c>
    </row>
    <row r="10" spans="1:5" ht="30" customHeight="1" x14ac:dyDescent="0.3">
      <c r="A10" s="2" t="s">
        <v>2630</v>
      </c>
      <c r="B10" s="6" t="s">
        <v>2907</v>
      </c>
      <c r="C10" s="2" t="s">
        <v>2356</v>
      </c>
      <c r="D10" s="2" t="b">
        <f>FALSE()</f>
        <v>0</v>
      </c>
      <c r="E10" s="2"/>
    </row>
    <row r="11" spans="1:5" ht="30" customHeight="1" x14ac:dyDescent="0.3">
      <c r="A11" s="4" t="s">
        <v>2630</v>
      </c>
      <c r="B11" s="7" t="s">
        <v>2908</v>
      </c>
      <c r="C11" s="4" t="s">
        <v>2356</v>
      </c>
      <c r="D11" s="4" t="b">
        <f>FALSE()</f>
        <v>0</v>
      </c>
      <c r="E11" s="4"/>
    </row>
    <row r="12" spans="1:5" ht="30" customHeight="1" x14ac:dyDescent="0.3">
      <c r="A12" s="2" t="s">
        <v>2630</v>
      </c>
      <c r="B12" s="6" t="s">
        <v>2909</v>
      </c>
      <c r="C12" s="2" t="s">
        <v>2910</v>
      </c>
      <c r="D12" s="2" t="b">
        <f>FALSE()</f>
        <v>0</v>
      </c>
      <c r="E12" s="2"/>
    </row>
    <row r="13" spans="1:5" ht="30" customHeight="1" x14ac:dyDescent="0.3">
      <c r="A13" s="4" t="s">
        <v>2630</v>
      </c>
      <c r="B13" s="7" t="s">
        <v>2911</v>
      </c>
      <c r="C13" s="4" t="s">
        <v>2356</v>
      </c>
      <c r="D13" s="4" t="b">
        <f>FALSE()</f>
        <v>0</v>
      </c>
      <c r="E13" s="4" t="s">
        <v>2912</v>
      </c>
    </row>
    <row r="14" spans="1:5" ht="30" customHeight="1" x14ac:dyDescent="0.3">
      <c r="A14" s="2" t="s">
        <v>2630</v>
      </c>
      <c r="B14" s="6" t="s">
        <v>2913</v>
      </c>
      <c r="C14" s="2" t="s">
        <v>2356</v>
      </c>
      <c r="D14" s="2" t="b">
        <f>FALSE()</f>
        <v>0</v>
      </c>
      <c r="E14" s="2"/>
    </row>
    <row r="15" spans="1:5" ht="30" customHeight="1" x14ac:dyDescent="0.3">
      <c r="A15" s="4" t="s">
        <v>2630</v>
      </c>
      <c r="B15" s="7" t="s">
        <v>2914</v>
      </c>
      <c r="C15" s="4" t="s">
        <v>2902</v>
      </c>
      <c r="D15" s="4" t="b">
        <f>FALSE()</f>
        <v>0</v>
      </c>
      <c r="E15" s="4"/>
    </row>
    <row r="16" spans="1:5" ht="30" customHeight="1" x14ac:dyDescent="0.3">
      <c r="A16" s="2" t="s">
        <v>2630</v>
      </c>
      <c r="B16" s="6" t="s">
        <v>2915</v>
      </c>
      <c r="C16" s="2" t="s">
        <v>2356</v>
      </c>
      <c r="D16" s="2" t="b">
        <f>FALSE()</f>
        <v>0</v>
      </c>
      <c r="E16" s="2"/>
    </row>
    <row r="17" spans="1:5" ht="30" customHeight="1" x14ac:dyDescent="0.3">
      <c r="A17" s="4" t="s">
        <v>2630</v>
      </c>
      <c r="B17" s="7" t="s">
        <v>2916</v>
      </c>
      <c r="C17" s="4" t="s">
        <v>2902</v>
      </c>
      <c r="D17" s="4" t="b">
        <f>FALSE()</f>
        <v>0</v>
      </c>
      <c r="E17" s="4"/>
    </row>
    <row r="18" spans="1:5" ht="19.5" customHeight="1" x14ac:dyDescent="0.3">
      <c r="A18" s="18" t="s">
        <v>2917</v>
      </c>
      <c r="B18" s="18"/>
      <c r="C18" s="18"/>
      <c r="D18" s="18"/>
      <c r="E18" s="18"/>
    </row>
    <row r="19" spans="1:5" ht="30" customHeight="1" x14ac:dyDescent="0.3">
      <c r="A19" s="2" t="s">
        <v>45</v>
      </c>
      <c r="B19" s="6" t="s">
        <v>2918</v>
      </c>
      <c r="C19" s="2" t="s">
        <v>2356</v>
      </c>
      <c r="D19" s="2" t="b">
        <f>FALSE()</f>
        <v>0</v>
      </c>
      <c r="E19" s="2" t="s">
        <v>2919</v>
      </c>
    </row>
    <row r="20" spans="1:5" ht="30" customHeight="1" x14ac:dyDescent="0.3">
      <c r="A20" s="4" t="s">
        <v>45</v>
      </c>
      <c r="B20" s="7" t="s">
        <v>2920</v>
      </c>
      <c r="C20" s="4" t="s">
        <v>2902</v>
      </c>
      <c r="D20" s="4" t="b">
        <f>FALSE()</f>
        <v>0</v>
      </c>
      <c r="E20" s="4" t="s">
        <v>2921</v>
      </c>
    </row>
    <row r="21" spans="1:5" ht="30" customHeight="1" x14ac:dyDescent="0.3">
      <c r="A21" s="2" t="s">
        <v>45</v>
      </c>
      <c r="B21" s="6" t="s">
        <v>2922</v>
      </c>
      <c r="C21" s="2" t="s">
        <v>2356</v>
      </c>
      <c r="D21" s="2" t="b">
        <f>FALSE()</f>
        <v>0</v>
      </c>
      <c r="E21" s="2" t="s">
        <v>2923</v>
      </c>
    </row>
    <row r="22" spans="1:5" ht="30" customHeight="1" x14ac:dyDescent="0.3">
      <c r="A22" s="4" t="s">
        <v>45</v>
      </c>
      <c r="B22" s="7" t="s">
        <v>2924</v>
      </c>
      <c r="C22" s="4" t="s">
        <v>2356</v>
      </c>
      <c r="D22" s="4" t="b">
        <f>FALSE()</f>
        <v>0</v>
      </c>
      <c r="E22" s="4" t="s">
        <v>2925</v>
      </c>
    </row>
    <row r="23" spans="1:5" ht="30" customHeight="1" x14ac:dyDescent="0.3">
      <c r="A23" s="2" t="s">
        <v>45</v>
      </c>
      <c r="B23" s="6" t="s">
        <v>2926</v>
      </c>
      <c r="C23" s="2" t="s">
        <v>2356</v>
      </c>
      <c r="D23" s="2" t="b">
        <f>FALSE()</f>
        <v>0</v>
      </c>
      <c r="E23" s="2" t="s">
        <v>2927</v>
      </c>
    </row>
    <row r="24" spans="1:5" ht="30" customHeight="1" x14ac:dyDescent="0.3">
      <c r="A24" s="4" t="s">
        <v>45</v>
      </c>
      <c r="B24" s="7" t="s">
        <v>2928</v>
      </c>
      <c r="C24" s="4" t="s">
        <v>2902</v>
      </c>
      <c r="D24" s="4" t="b">
        <f>FALSE()</f>
        <v>0</v>
      </c>
      <c r="E24" s="4"/>
    </row>
    <row r="25" spans="1:5" ht="30" customHeight="1" x14ac:dyDescent="0.3">
      <c r="A25" s="2" t="s">
        <v>45</v>
      </c>
      <c r="B25" s="6" t="s">
        <v>2929</v>
      </c>
      <c r="C25" s="2" t="s">
        <v>2356</v>
      </c>
      <c r="D25" s="2" t="b">
        <f>FALSE()</f>
        <v>0</v>
      </c>
      <c r="E25" s="2" t="s">
        <v>2930</v>
      </c>
    </row>
    <row r="26" spans="1:5" ht="30" customHeight="1" x14ac:dyDescent="0.3">
      <c r="A26" s="4" t="s">
        <v>45</v>
      </c>
      <c r="B26" s="7" t="s">
        <v>2931</v>
      </c>
      <c r="C26" s="4" t="s">
        <v>2356</v>
      </c>
      <c r="D26" s="4" t="b">
        <f>FALSE()</f>
        <v>0</v>
      </c>
      <c r="E26" s="4"/>
    </row>
    <row r="27" spans="1:5" ht="30" customHeight="1" x14ac:dyDescent="0.3">
      <c r="A27" s="2" t="s">
        <v>45</v>
      </c>
      <c r="B27" s="6" t="s">
        <v>2932</v>
      </c>
      <c r="C27" s="2" t="s">
        <v>2902</v>
      </c>
      <c r="D27" s="2" t="b">
        <f>FALSE()</f>
        <v>0</v>
      </c>
      <c r="E27" s="2" t="s">
        <v>2933</v>
      </c>
    </row>
    <row r="28" spans="1:5" ht="30" customHeight="1" x14ac:dyDescent="0.3">
      <c r="A28" s="4" t="s">
        <v>45</v>
      </c>
      <c r="B28" s="7" t="s">
        <v>2934</v>
      </c>
      <c r="C28" s="4" t="s">
        <v>2356</v>
      </c>
      <c r="D28" s="4" t="b">
        <f>FALSE()</f>
        <v>0</v>
      </c>
      <c r="E28" s="4" t="s">
        <v>2935</v>
      </c>
    </row>
    <row r="29" spans="1:5" ht="30" customHeight="1" x14ac:dyDescent="0.3">
      <c r="A29" s="2" t="s">
        <v>45</v>
      </c>
      <c r="B29" s="6" t="s">
        <v>2936</v>
      </c>
      <c r="C29" s="2" t="s">
        <v>2356</v>
      </c>
      <c r="D29" s="2" t="b">
        <f>FALSE()</f>
        <v>0</v>
      </c>
      <c r="E29" s="2" t="s">
        <v>2937</v>
      </c>
    </row>
    <row r="30" spans="1:5" ht="30" customHeight="1" x14ac:dyDescent="0.3">
      <c r="A30" s="4" t="s">
        <v>45</v>
      </c>
      <c r="B30" s="7" t="s">
        <v>2938</v>
      </c>
      <c r="C30" s="4" t="s">
        <v>2902</v>
      </c>
      <c r="D30" s="4" t="b">
        <f>FALSE()</f>
        <v>0</v>
      </c>
      <c r="E30" s="4"/>
    </row>
    <row r="31" spans="1:5" ht="19.5" customHeight="1" x14ac:dyDescent="0.3">
      <c r="A31" s="18" t="s">
        <v>2939</v>
      </c>
      <c r="B31" s="18"/>
      <c r="C31" s="18"/>
      <c r="D31" s="18"/>
      <c r="E31" s="18"/>
    </row>
    <row r="32" spans="1:5" ht="30" customHeight="1" x14ac:dyDescent="0.3">
      <c r="A32" s="2" t="s">
        <v>46</v>
      </c>
      <c r="B32" s="6" t="s">
        <v>2940</v>
      </c>
      <c r="C32" s="2" t="s">
        <v>2356</v>
      </c>
      <c r="D32" s="2" t="b">
        <f>FALSE()</f>
        <v>0</v>
      </c>
      <c r="E32" s="2"/>
    </row>
    <row r="33" spans="1:5" ht="30" customHeight="1" x14ac:dyDescent="0.3">
      <c r="A33" s="4" t="s">
        <v>46</v>
      </c>
      <c r="B33" s="7" t="s">
        <v>2941</v>
      </c>
      <c r="C33" s="4" t="s">
        <v>2356</v>
      </c>
      <c r="D33" s="4" t="b">
        <f>FALSE()</f>
        <v>0</v>
      </c>
      <c r="E33" s="4"/>
    </row>
    <row r="34" spans="1:5" ht="30" customHeight="1" x14ac:dyDescent="0.3">
      <c r="A34" s="2" t="s">
        <v>46</v>
      </c>
      <c r="B34" s="6" t="s">
        <v>2942</v>
      </c>
      <c r="C34" s="2" t="s">
        <v>2910</v>
      </c>
      <c r="D34" s="2" t="b">
        <f>FALSE()</f>
        <v>0</v>
      </c>
      <c r="E34" s="2"/>
    </row>
    <row r="35" spans="1:5" ht="30" customHeight="1" x14ac:dyDescent="0.3">
      <c r="A35" s="4" t="s">
        <v>46</v>
      </c>
      <c r="B35" s="7" t="s">
        <v>2943</v>
      </c>
      <c r="C35" s="4" t="s">
        <v>2902</v>
      </c>
      <c r="D35" s="4" t="b">
        <f>FALSE()</f>
        <v>0</v>
      </c>
      <c r="E35" s="4" t="s">
        <v>2944</v>
      </c>
    </row>
    <row r="36" spans="1:5" ht="30" customHeight="1" x14ac:dyDescent="0.3">
      <c r="A36" s="2" t="s">
        <v>46</v>
      </c>
      <c r="B36" s="6" t="s">
        <v>2945</v>
      </c>
      <c r="C36" s="2" t="s">
        <v>2356</v>
      </c>
      <c r="D36" s="2" t="b">
        <f>FALSE()</f>
        <v>0</v>
      </c>
      <c r="E36" s="2"/>
    </row>
    <row r="37" spans="1:5" ht="30" customHeight="1" x14ac:dyDescent="0.3">
      <c r="A37" s="4" t="s">
        <v>46</v>
      </c>
      <c r="B37" s="7" t="s">
        <v>2946</v>
      </c>
      <c r="C37" s="4" t="s">
        <v>2356</v>
      </c>
      <c r="D37" s="4" t="b">
        <f>FALSE()</f>
        <v>0</v>
      </c>
      <c r="E37" s="4" t="s">
        <v>2947</v>
      </c>
    </row>
    <row r="38" spans="1:5" ht="30" customHeight="1" x14ac:dyDescent="0.3">
      <c r="A38" s="2" t="s">
        <v>46</v>
      </c>
      <c r="B38" s="6" t="s">
        <v>2948</v>
      </c>
      <c r="C38" s="2" t="s">
        <v>2902</v>
      </c>
      <c r="D38" s="2" t="b">
        <f>FALSE()</f>
        <v>0</v>
      </c>
      <c r="E38" s="2"/>
    </row>
    <row r="39" spans="1:5" ht="30" customHeight="1" x14ac:dyDescent="0.3">
      <c r="A39" s="4" t="s">
        <v>46</v>
      </c>
      <c r="B39" s="7" t="s">
        <v>2949</v>
      </c>
      <c r="C39" s="4" t="s">
        <v>2902</v>
      </c>
      <c r="D39" s="4" t="b">
        <f>FALSE()</f>
        <v>0</v>
      </c>
      <c r="E39" s="4"/>
    </row>
    <row r="40" spans="1:5" ht="30" customHeight="1" x14ac:dyDescent="0.3">
      <c r="A40" s="2" t="s">
        <v>46</v>
      </c>
      <c r="B40" s="6" t="s">
        <v>2950</v>
      </c>
      <c r="C40" s="2" t="s">
        <v>2356</v>
      </c>
      <c r="D40" s="2" t="b">
        <f>FALSE()</f>
        <v>0</v>
      </c>
      <c r="E40" s="2" t="s">
        <v>2951</v>
      </c>
    </row>
    <row r="41" spans="1:5" ht="30" customHeight="1" x14ac:dyDescent="0.3">
      <c r="A41" s="4" t="s">
        <v>46</v>
      </c>
      <c r="B41" s="7" t="s">
        <v>2952</v>
      </c>
      <c r="C41" s="4" t="s">
        <v>2902</v>
      </c>
      <c r="D41" s="4" t="b">
        <f>FALSE()</f>
        <v>0</v>
      </c>
      <c r="E41" s="4"/>
    </row>
    <row r="42" spans="1:5" ht="30" customHeight="1" x14ac:dyDescent="0.3">
      <c r="A42" s="2" t="s">
        <v>46</v>
      </c>
      <c r="B42" s="6" t="s">
        <v>2953</v>
      </c>
      <c r="C42" s="2" t="s">
        <v>2356</v>
      </c>
      <c r="D42" s="2" t="b">
        <f>FALSE()</f>
        <v>0</v>
      </c>
      <c r="E42" s="2"/>
    </row>
    <row r="43" spans="1:5" ht="30" customHeight="1" x14ac:dyDescent="0.3">
      <c r="A43" s="4" t="s">
        <v>46</v>
      </c>
      <c r="B43" s="7" t="s">
        <v>2954</v>
      </c>
      <c r="C43" s="4" t="s">
        <v>2902</v>
      </c>
      <c r="D43" s="4" t="b">
        <f>FALSE()</f>
        <v>0</v>
      </c>
      <c r="E43" s="4"/>
    </row>
    <row r="44" spans="1:5" ht="19.5" customHeight="1" x14ac:dyDescent="0.3">
      <c r="A44" s="18" t="s">
        <v>2955</v>
      </c>
      <c r="B44" s="18"/>
      <c r="C44" s="18"/>
      <c r="D44" s="18"/>
      <c r="E44" s="18"/>
    </row>
    <row r="45" spans="1:5" ht="30" customHeight="1" x14ac:dyDescent="0.3">
      <c r="A45" s="2" t="s">
        <v>47</v>
      </c>
      <c r="B45" s="6" t="s">
        <v>2956</v>
      </c>
      <c r="C45" s="2" t="s">
        <v>2910</v>
      </c>
      <c r="D45" s="2" t="b">
        <f>FALSE()</f>
        <v>0</v>
      </c>
      <c r="E45" s="2"/>
    </row>
    <row r="46" spans="1:5" ht="30" customHeight="1" x14ac:dyDescent="0.3">
      <c r="A46" s="4" t="s">
        <v>47</v>
      </c>
      <c r="B46" s="7" t="s">
        <v>2957</v>
      </c>
      <c r="C46" s="4" t="s">
        <v>2902</v>
      </c>
      <c r="D46" s="4" t="b">
        <f>FALSE()</f>
        <v>0</v>
      </c>
      <c r="E46" s="4"/>
    </row>
    <row r="47" spans="1:5" ht="30" customHeight="1" x14ac:dyDescent="0.3">
      <c r="A47" s="2" t="s">
        <v>47</v>
      </c>
      <c r="B47" s="6" t="s">
        <v>2958</v>
      </c>
      <c r="C47" s="2" t="s">
        <v>2356</v>
      </c>
      <c r="D47" s="2" t="b">
        <f>FALSE()</f>
        <v>0</v>
      </c>
      <c r="E47" s="2"/>
    </row>
    <row r="48" spans="1:5" ht="30" customHeight="1" x14ac:dyDescent="0.3">
      <c r="A48" s="4" t="s">
        <v>47</v>
      </c>
      <c r="B48" s="7" t="s">
        <v>2959</v>
      </c>
      <c r="C48" s="4" t="s">
        <v>2356</v>
      </c>
      <c r="D48" s="4" t="b">
        <f>FALSE()</f>
        <v>0</v>
      </c>
      <c r="E48" s="4" t="s">
        <v>2960</v>
      </c>
    </row>
    <row r="49" spans="1:5" ht="30" customHeight="1" x14ac:dyDescent="0.3">
      <c r="A49" s="2" t="s">
        <v>47</v>
      </c>
      <c r="B49" s="6" t="s">
        <v>2961</v>
      </c>
      <c r="C49" s="2" t="s">
        <v>2356</v>
      </c>
      <c r="D49" s="2" t="b">
        <f>FALSE()</f>
        <v>0</v>
      </c>
      <c r="E49" s="2"/>
    </row>
    <row r="50" spans="1:5" ht="30" customHeight="1" x14ac:dyDescent="0.3">
      <c r="A50" s="4" t="s">
        <v>47</v>
      </c>
      <c r="B50" s="7" t="s">
        <v>2962</v>
      </c>
      <c r="C50" s="4" t="s">
        <v>2356</v>
      </c>
      <c r="D50" s="4" t="b">
        <f>FALSE()</f>
        <v>0</v>
      </c>
      <c r="E50" s="4" t="s">
        <v>2963</v>
      </c>
    </row>
    <row r="51" spans="1:5" ht="30" customHeight="1" x14ac:dyDescent="0.3">
      <c r="A51" s="2" t="s">
        <v>47</v>
      </c>
      <c r="B51" s="6" t="s">
        <v>2964</v>
      </c>
      <c r="C51" s="2" t="s">
        <v>2356</v>
      </c>
      <c r="D51" s="2" t="b">
        <f>FALSE()</f>
        <v>0</v>
      </c>
      <c r="E51" s="2"/>
    </row>
    <row r="52" spans="1:5" ht="30" customHeight="1" x14ac:dyDescent="0.3">
      <c r="A52" s="4" t="s">
        <v>47</v>
      </c>
      <c r="B52" s="7" t="s">
        <v>2965</v>
      </c>
      <c r="C52" s="4" t="s">
        <v>2356</v>
      </c>
      <c r="D52" s="4" t="b">
        <f>FALSE()</f>
        <v>0</v>
      </c>
      <c r="E52" s="4" t="s">
        <v>2966</v>
      </c>
    </row>
    <row r="53" spans="1:5" ht="30" customHeight="1" x14ac:dyDescent="0.3">
      <c r="A53" s="2" t="s">
        <v>47</v>
      </c>
      <c r="B53" s="6" t="s">
        <v>2967</v>
      </c>
      <c r="C53" s="2" t="s">
        <v>2902</v>
      </c>
      <c r="D53" s="2" t="b">
        <f>FALSE()</f>
        <v>0</v>
      </c>
      <c r="E53" s="2"/>
    </row>
    <row r="54" spans="1:5" ht="30" customHeight="1" x14ac:dyDescent="0.3">
      <c r="A54" s="4" t="s">
        <v>47</v>
      </c>
      <c r="B54" s="7" t="s">
        <v>2968</v>
      </c>
      <c r="C54" s="4" t="s">
        <v>2356</v>
      </c>
      <c r="D54" s="4" t="b">
        <f>FALSE()</f>
        <v>0</v>
      </c>
      <c r="E54" s="4"/>
    </row>
    <row r="55" spans="1:5" ht="30" customHeight="1" x14ac:dyDescent="0.3">
      <c r="A55" s="2" t="s">
        <v>47</v>
      </c>
      <c r="B55" s="6" t="s">
        <v>2969</v>
      </c>
      <c r="C55" s="2" t="s">
        <v>2356</v>
      </c>
      <c r="D55" s="2" t="b">
        <f>FALSE()</f>
        <v>0</v>
      </c>
      <c r="E55" s="2"/>
    </row>
    <row r="56" spans="1:5" ht="19.5" customHeight="1" x14ac:dyDescent="0.3">
      <c r="A56" s="18" t="s">
        <v>2970</v>
      </c>
      <c r="B56" s="18"/>
      <c r="C56" s="18"/>
      <c r="D56" s="18"/>
      <c r="E56" s="18"/>
    </row>
    <row r="57" spans="1:5" ht="30" customHeight="1" x14ac:dyDescent="0.3">
      <c r="A57" s="4" t="s">
        <v>48</v>
      </c>
      <c r="B57" s="7" t="s">
        <v>2971</v>
      </c>
      <c r="C57" s="4" t="s">
        <v>2356</v>
      </c>
      <c r="D57" s="4" t="b">
        <f>FALSE()</f>
        <v>0</v>
      </c>
      <c r="E57" s="4"/>
    </row>
    <row r="58" spans="1:5" ht="30" customHeight="1" x14ac:dyDescent="0.3">
      <c r="A58" s="2" t="s">
        <v>48</v>
      </c>
      <c r="B58" s="6" t="s">
        <v>2972</v>
      </c>
      <c r="C58" s="2" t="s">
        <v>2356</v>
      </c>
      <c r="D58" s="2" t="b">
        <f>FALSE()</f>
        <v>0</v>
      </c>
      <c r="E58" s="2"/>
    </row>
    <row r="59" spans="1:5" ht="30" customHeight="1" x14ac:dyDescent="0.3">
      <c r="A59" s="4" t="s">
        <v>48</v>
      </c>
      <c r="B59" s="7" t="s">
        <v>2973</v>
      </c>
      <c r="C59" s="4" t="s">
        <v>2356</v>
      </c>
      <c r="D59" s="4" t="b">
        <f>FALSE()</f>
        <v>0</v>
      </c>
      <c r="E59" s="4"/>
    </row>
    <row r="60" spans="1:5" ht="30" customHeight="1" x14ac:dyDescent="0.3">
      <c r="A60" s="2" t="s">
        <v>48</v>
      </c>
      <c r="B60" s="6" t="s">
        <v>2974</v>
      </c>
      <c r="C60" s="2" t="s">
        <v>2902</v>
      </c>
      <c r="D60" s="2" t="b">
        <f>FALSE()</f>
        <v>0</v>
      </c>
      <c r="E60" s="2"/>
    </row>
    <row r="61" spans="1:5" ht="30" customHeight="1" x14ac:dyDescent="0.3">
      <c r="A61" s="4" t="s">
        <v>48</v>
      </c>
      <c r="B61" s="7" t="s">
        <v>2975</v>
      </c>
      <c r="C61" s="4" t="s">
        <v>2902</v>
      </c>
      <c r="D61" s="4" t="b">
        <f>FALSE()</f>
        <v>0</v>
      </c>
      <c r="E61" s="4"/>
    </row>
    <row r="62" spans="1:5" ht="30" customHeight="1" x14ac:dyDescent="0.3">
      <c r="A62" s="2" t="s">
        <v>48</v>
      </c>
      <c r="B62" s="6" t="s">
        <v>2976</v>
      </c>
      <c r="C62" s="2" t="s">
        <v>2902</v>
      </c>
      <c r="D62" s="2" t="b">
        <f>FALSE()</f>
        <v>0</v>
      </c>
      <c r="E62" s="2" t="s">
        <v>2977</v>
      </c>
    </row>
    <row r="63" spans="1:5" ht="30" customHeight="1" x14ac:dyDescent="0.3">
      <c r="A63" s="4" t="s">
        <v>48</v>
      </c>
      <c r="B63" s="7" t="s">
        <v>2978</v>
      </c>
      <c r="C63" s="4" t="s">
        <v>2356</v>
      </c>
      <c r="D63" s="4" t="b">
        <f>FALSE()</f>
        <v>0</v>
      </c>
      <c r="E63" s="4"/>
    </row>
    <row r="64" spans="1:5" ht="30" customHeight="1" x14ac:dyDescent="0.3">
      <c r="A64" s="2" t="s">
        <v>48</v>
      </c>
      <c r="B64" s="6" t="s">
        <v>2979</v>
      </c>
      <c r="C64" s="2" t="s">
        <v>2356</v>
      </c>
      <c r="D64" s="2" t="b">
        <f>FALSE()</f>
        <v>0</v>
      </c>
      <c r="E64" s="2" t="s">
        <v>2980</v>
      </c>
    </row>
    <row r="65" spans="1:5" ht="30" customHeight="1" x14ac:dyDescent="0.3">
      <c r="A65" s="4" t="s">
        <v>48</v>
      </c>
      <c r="B65" s="7" t="s">
        <v>2981</v>
      </c>
      <c r="C65" s="4" t="s">
        <v>2356</v>
      </c>
      <c r="D65" s="4" t="b">
        <f>FALSE()</f>
        <v>0</v>
      </c>
      <c r="E65" s="4"/>
    </row>
    <row r="66" spans="1:5" ht="30" customHeight="1" x14ac:dyDescent="0.3">
      <c r="A66" s="2" t="s">
        <v>48</v>
      </c>
      <c r="B66" s="6" t="s">
        <v>2982</v>
      </c>
      <c r="C66" s="2" t="s">
        <v>2356</v>
      </c>
      <c r="D66" s="2" t="b">
        <f>FALSE()</f>
        <v>0</v>
      </c>
      <c r="E66" s="2"/>
    </row>
    <row r="67" spans="1:5" ht="30" customHeight="1" x14ac:dyDescent="0.3">
      <c r="A67" s="4" t="s">
        <v>48</v>
      </c>
      <c r="B67" s="7" t="s">
        <v>2983</v>
      </c>
      <c r="C67" s="4" t="s">
        <v>2356</v>
      </c>
      <c r="D67" s="4" t="b">
        <f>FALSE()</f>
        <v>0</v>
      </c>
      <c r="E67" s="4" t="s">
        <v>2984</v>
      </c>
    </row>
    <row r="68" spans="1:5" ht="19.5" customHeight="1" x14ac:dyDescent="0.3">
      <c r="A68" s="18" t="s">
        <v>2985</v>
      </c>
      <c r="B68" s="18"/>
      <c r="C68" s="18"/>
      <c r="D68" s="18"/>
      <c r="E68" s="18"/>
    </row>
    <row r="69" spans="1:5" ht="30" customHeight="1" x14ac:dyDescent="0.3">
      <c r="A69" s="2" t="s">
        <v>50</v>
      </c>
      <c r="B69" s="6" t="s">
        <v>2986</v>
      </c>
      <c r="C69" s="2" t="s">
        <v>2910</v>
      </c>
      <c r="D69" s="2" t="b">
        <f>FALSE()</f>
        <v>0</v>
      </c>
      <c r="E69" s="2"/>
    </row>
    <row r="70" spans="1:5" ht="30" customHeight="1" x14ac:dyDescent="0.3">
      <c r="A70" s="4" t="s">
        <v>50</v>
      </c>
      <c r="B70" s="7" t="s">
        <v>2987</v>
      </c>
      <c r="C70" s="4" t="s">
        <v>2356</v>
      </c>
      <c r="D70" s="4" t="b">
        <f>FALSE()</f>
        <v>0</v>
      </c>
      <c r="E70" s="4"/>
    </row>
    <row r="71" spans="1:5" ht="30" customHeight="1" x14ac:dyDescent="0.3">
      <c r="A71" s="2" t="s">
        <v>50</v>
      </c>
      <c r="B71" s="6" t="s">
        <v>2988</v>
      </c>
      <c r="C71" s="2" t="s">
        <v>2902</v>
      </c>
      <c r="D71" s="2" t="b">
        <f>FALSE()</f>
        <v>0</v>
      </c>
      <c r="E71" s="2"/>
    </row>
    <row r="72" spans="1:5" ht="30" customHeight="1" x14ac:dyDescent="0.3">
      <c r="A72" s="4" t="s">
        <v>50</v>
      </c>
      <c r="B72" s="7" t="s">
        <v>2989</v>
      </c>
      <c r="C72" s="4" t="s">
        <v>2356</v>
      </c>
      <c r="D72" s="4" t="b">
        <f>FALSE()</f>
        <v>0</v>
      </c>
      <c r="E72" s="4" t="s">
        <v>2990</v>
      </c>
    </row>
    <row r="73" spans="1:5" ht="30" customHeight="1" x14ac:dyDescent="0.3">
      <c r="A73" s="2" t="s">
        <v>50</v>
      </c>
      <c r="B73" s="6" t="s">
        <v>2991</v>
      </c>
      <c r="C73" s="2" t="s">
        <v>2356</v>
      </c>
      <c r="D73" s="2" t="b">
        <f>FALSE()</f>
        <v>0</v>
      </c>
      <c r="E73" s="2"/>
    </row>
    <row r="74" spans="1:5" ht="30" customHeight="1" x14ac:dyDescent="0.3">
      <c r="A74" s="4" t="s">
        <v>50</v>
      </c>
      <c r="B74" s="7" t="s">
        <v>2992</v>
      </c>
      <c r="C74" s="4" t="s">
        <v>2902</v>
      </c>
      <c r="D74" s="4" t="b">
        <f>FALSE()</f>
        <v>0</v>
      </c>
      <c r="E74" s="4" t="s">
        <v>2993</v>
      </c>
    </row>
    <row r="75" spans="1:5" ht="30" customHeight="1" x14ac:dyDescent="0.3">
      <c r="A75" s="2" t="s">
        <v>50</v>
      </c>
      <c r="B75" s="6" t="s">
        <v>2994</v>
      </c>
      <c r="C75" s="2" t="s">
        <v>2356</v>
      </c>
      <c r="D75" s="2" t="b">
        <f>FALSE()</f>
        <v>0</v>
      </c>
      <c r="E75" s="2" t="s">
        <v>2995</v>
      </c>
    </row>
    <row r="76" spans="1:5" ht="30" customHeight="1" x14ac:dyDescent="0.3">
      <c r="A76" s="4" t="s">
        <v>50</v>
      </c>
      <c r="B76" s="7" t="s">
        <v>2996</v>
      </c>
      <c r="C76" s="4" t="s">
        <v>2356</v>
      </c>
      <c r="D76" s="4" t="b">
        <f>FALSE()</f>
        <v>0</v>
      </c>
      <c r="E76" s="4"/>
    </row>
    <row r="77" spans="1:5" ht="30" customHeight="1" x14ac:dyDescent="0.3">
      <c r="A77" s="2" t="s">
        <v>50</v>
      </c>
      <c r="B77" s="6" t="s">
        <v>2997</v>
      </c>
      <c r="C77" s="2" t="s">
        <v>2902</v>
      </c>
      <c r="D77" s="2" t="b">
        <f>FALSE()</f>
        <v>0</v>
      </c>
      <c r="E77" s="2"/>
    </row>
    <row r="78" spans="1:5" ht="30" customHeight="1" x14ac:dyDescent="0.3">
      <c r="A78" s="4" t="s">
        <v>50</v>
      </c>
      <c r="B78" s="7" t="s">
        <v>2998</v>
      </c>
      <c r="C78" s="4" t="s">
        <v>2356</v>
      </c>
      <c r="D78" s="4" t="b">
        <f>FALSE()</f>
        <v>0</v>
      </c>
      <c r="E78" s="4" t="s">
        <v>2999</v>
      </c>
    </row>
    <row r="79" spans="1:5" ht="19.5" customHeight="1" x14ac:dyDescent="0.3">
      <c r="A79" s="18" t="s">
        <v>3000</v>
      </c>
      <c r="B79" s="18"/>
      <c r="C79" s="18"/>
      <c r="D79" s="18"/>
      <c r="E79" s="18"/>
    </row>
    <row r="80" spans="1:5" ht="30" customHeight="1" x14ac:dyDescent="0.3">
      <c r="A80" s="2" t="s">
        <v>51</v>
      </c>
      <c r="B80" s="6" t="s">
        <v>3001</v>
      </c>
      <c r="C80" s="2" t="s">
        <v>2902</v>
      </c>
      <c r="D80" s="2" t="b">
        <f>FALSE()</f>
        <v>0</v>
      </c>
      <c r="E80" s="2"/>
    </row>
    <row r="81" spans="1:5" ht="30" customHeight="1" x14ac:dyDescent="0.3">
      <c r="A81" s="4" t="s">
        <v>51</v>
      </c>
      <c r="B81" s="7" t="s">
        <v>3002</v>
      </c>
      <c r="C81" s="4" t="s">
        <v>2356</v>
      </c>
      <c r="D81" s="4" t="b">
        <f>FALSE()</f>
        <v>0</v>
      </c>
      <c r="E81" s="4"/>
    </row>
    <row r="82" spans="1:5" ht="30" customHeight="1" x14ac:dyDescent="0.3">
      <c r="A82" s="2" t="s">
        <v>51</v>
      </c>
      <c r="B82" s="6" t="s">
        <v>3003</v>
      </c>
      <c r="C82" s="2" t="s">
        <v>2356</v>
      </c>
      <c r="D82" s="2" t="b">
        <f>FALSE()</f>
        <v>0</v>
      </c>
      <c r="E82" s="2"/>
    </row>
    <row r="83" spans="1:5" ht="30" customHeight="1" x14ac:dyDescent="0.3">
      <c r="A83" s="4" t="s">
        <v>51</v>
      </c>
      <c r="B83" s="7" t="s">
        <v>3004</v>
      </c>
      <c r="C83" s="4" t="s">
        <v>2902</v>
      </c>
      <c r="D83" s="4" t="b">
        <f>FALSE()</f>
        <v>0</v>
      </c>
      <c r="E83" s="4"/>
    </row>
    <row r="84" spans="1:5" ht="30" customHeight="1" x14ac:dyDescent="0.3">
      <c r="A84" s="2" t="s">
        <v>51</v>
      </c>
      <c r="B84" s="6" t="s">
        <v>3005</v>
      </c>
      <c r="C84" s="2" t="s">
        <v>2356</v>
      </c>
      <c r="D84" s="2" t="b">
        <f>FALSE()</f>
        <v>0</v>
      </c>
      <c r="E84" s="2"/>
    </row>
    <row r="85" spans="1:5" ht="30" customHeight="1" x14ac:dyDescent="0.3">
      <c r="A85" s="4" t="s">
        <v>51</v>
      </c>
      <c r="B85" s="7" t="s">
        <v>3006</v>
      </c>
      <c r="C85" s="4" t="s">
        <v>2902</v>
      </c>
      <c r="D85" s="4" t="b">
        <f>FALSE()</f>
        <v>0</v>
      </c>
      <c r="E85" s="4" t="s">
        <v>3007</v>
      </c>
    </row>
    <row r="86" spans="1:5" ht="30" customHeight="1" x14ac:dyDescent="0.3">
      <c r="A86" s="2" t="s">
        <v>51</v>
      </c>
      <c r="B86" s="6" t="s">
        <v>3008</v>
      </c>
      <c r="C86" s="2" t="s">
        <v>2902</v>
      </c>
      <c r="D86" s="2" t="b">
        <f>FALSE()</f>
        <v>0</v>
      </c>
      <c r="E86" s="2" t="s">
        <v>3009</v>
      </c>
    </row>
    <row r="87" spans="1:5" ht="30" customHeight="1" x14ac:dyDescent="0.3">
      <c r="A87" s="4" t="s">
        <v>51</v>
      </c>
      <c r="B87" s="7" t="s">
        <v>3010</v>
      </c>
      <c r="C87" s="4" t="s">
        <v>2902</v>
      </c>
      <c r="D87" s="4" t="b">
        <f>FALSE()</f>
        <v>0</v>
      </c>
      <c r="E87" s="4"/>
    </row>
    <row r="88" spans="1:5" ht="30" customHeight="1" x14ac:dyDescent="0.3">
      <c r="A88" s="2" t="s">
        <v>51</v>
      </c>
      <c r="B88" s="6" t="s">
        <v>3011</v>
      </c>
      <c r="C88" s="2" t="s">
        <v>2356</v>
      </c>
      <c r="D88" s="2" t="b">
        <f>FALSE()</f>
        <v>0</v>
      </c>
      <c r="E88" s="2"/>
    </row>
    <row r="89" spans="1:5" ht="30" customHeight="1" x14ac:dyDescent="0.3">
      <c r="A89" s="4" t="s">
        <v>51</v>
      </c>
      <c r="B89" s="7" t="s">
        <v>3012</v>
      </c>
      <c r="C89" s="4" t="s">
        <v>2356</v>
      </c>
      <c r="D89" s="4" t="b">
        <f>FALSE()</f>
        <v>0</v>
      </c>
      <c r="E89" s="4"/>
    </row>
    <row r="90" spans="1:5" ht="30" customHeight="1" x14ac:dyDescent="0.3">
      <c r="A90" s="2" t="s">
        <v>51</v>
      </c>
      <c r="B90" s="6" t="s">
        <v>3013</v>
      </c>
      <c r="C90" s="2" t="s">
        <v>2356</v>
      </c>
      <c r="D90" s="2" t="b">
        <f>FALSE()</f>
        <v>0</v>
      </c>
      <c r="E90" s="2"/>
    </row>
    <row r="91" spans="1:5" ht="19.5" customHeight="1" x14ac:dyDescent="0.3">
      <c r="A91" s="18" t="s">
        <v>3014</v>
      </c>
      <c r="B91" s="18"/>
      <c r="C91" s="18"/>
      <c r="D91" s="18"/>
      <c r="E91" s="18"/>
    </row>
    <row r="92" spans="1:5" ht="30" customHeight="1" x14ac:dyDescent="0.3">
      <c r="A92" s="4" t="s">
        <v>52</v>
      </c>
      <c r="B92" s="7" t="s">
        <v>3015</v>
      </c>
      <c r="C92" s="4" t="s">
        <v>2356</v>
      </c>
      <c r="D92" s="4" t="b">
        <f>FALSE()</f>
        <v>0</v>
      </c>
      <c r="E92" s="4"/>
    </row>
    <row r="93" spans="1:5" ht="30" customHeight="1" x14ac:dyDescent="0.3">
      <c r="A93" s="2" t="s">
        <v>52</v>
      </c>
      <c r="B93" s="6" t="s">
        <v>3016</v>
      </c>
      <c r="C93" s="2" t="s">
        <v>2902</v>
      </c>
      <c r="D93" s="2" t="b">
        <f>FALSE()</f>
        <v>0</v>
      </c>
      <c r="E93" s="2"/>
    </row>
    <row r="94" spans="1:5" ht="30" customHeight="1" x14ac:dyDescent="0.3">
      <c r="A94" s="4" t="s">
        <v>52</v>
      </c>
      <c r="B94" s="7" t="s">
        <v>3017</v>
      </c>
      <c r="C94" s="4" t="s">
        <v>2902</v>
      </c>
      <c r="D94" s="4" t="b">
        <f>FALSE()</f>
        <v>0</v>
      </c>
      <c r="E94" s="4"/>
    </row>
    <row r="95" spans="1:5" ht="30" customHeight="1" x14ac:dyDescent="0.3">
      <c r="A95" s="2" t="s">
        <v>52</v>
      </c>
      <c r="B95" s="6" t="s">
        <v>3018</v>
      </c>
      <c r="C95" s="2" t="s">
        <v>2902</v>
      </c>
      <c r="D95" s="2" t="b">
        <f>FALSE()</f>
        <v>0</v>
      </c>
      <c r="E95" s="2"/>
    </row>
    <row r="96" spans="1:5" ht="30" customHeight="1" x14ac:dyDescent="0.3">
      <c r="A96" s="4" t="s">
        <v>52</v>
      </c>
      <c r="B96" s="7" t="s">
        <v>3019</v>
      </c>
      <c r="C96" s="4" t="s">
        <v>2356</v>
      </c>
      <c r="D96" s="4" t="b">
        <f>FALSE()</f>
        <v>0</v>
      </c>
      <c r="E96" s="4"/>
    </row>
    <row r="97" spans="1:5" ht="30" customHeight="1" x14ac:dyDescent="0.3">
      <c r="A97" s="2" t="s">
        <v>52</v>
      </c>
      <c r="B97" s="6" t="s">
        <v>3020</v>
      </c>
      <c r="C97" s="2" t="s">
        <v>2902</v>
      </c>
      <c r="D97" s="2" t="b">
        <f>FALSE()</f>
        <v>0</v>
      </c>
      <c r="E97" s="2" t="s">
        <v>3021</v>
      </c>
    </row>
    <row r="98" spans="1:5" ht="30" customHeight="1" x14ac:dyDescent="0.3">
      <c r="A98" s="4" t="s">
        <v>52</v>
      </c>
      <c r="B98" s="7" t="s">
        <v>3022</v>
      </c>
      <c r="C98" s="4" t="s">
        <v>2902</v>
      </c>
      <c r="D98" s="4" t="b">
        <f>FALSE()</f>
        <v>0</v>
      </c>
      <c r="E98" s="4"/>
    </row>
    <row r="99" spans="1:5" ht="30" customHeight="1" x14ac:dyDescent="0.3">
      <c r="A99" s="2" t="s">
        <v>52</v>
      </c>
      <c r="B99" s="6" t="s">
        <v>3023</v>
      </c>
      <c r="C99" s="2" t="s">
        <v>2902</v>
      </c>
      <c r="D99" s="2" t="b">
        <f>FALSE()</f>
        <v>0</v>
      </c>
      <c r="E99" s="2"/>
    </row>
    <row r="100" spans="1:5" ht="30" customHeight="1" x14ac:dyDescent="0.3">
      <c r="A100" s="4" t="s">
        <v>52</v>
      </c>
      <c r="B100" s="7" t="s">
        <v>3024</v>
      </c>
      <c r="C100" s="4" t="s">
        <v>2356</v>
      </c>
      <c r="D100" s="4" t="b">
        <f>FALSE()</f>
        <v>0</v>
      </c>
      <c r="E100" s="4" t="s">
        <v>3025</v>
      </c>
    </row>
    <row r="101" spans="1:5" ht="30" customHeight="1" x14ac:dyDescent="0.3">
      <c r="A101" s="2" t="s">
        <v>52</v>
      </c>
      <c r="B101" s="6" t="s">
        <v>3026</v>
      </c>
      <c r="C101" s="2" t="s">
        <v>2902</v>
      </c>
      <c r="D101" s="2" t="b">
        <f>FALSE()</f>
        <v>0</v>
      </c>
      <c r="E101" s="2"/>
    </row>
    <row r="102" spans="1:5" ht="30" customHeight="1" x14ac:dyDescent="0.3">
      <c r="A102" s="4" t="s">
        <v>52</v>
      </c>
      <c r="B102" s="7" t="s">
        <v>3027</v>
      </c>
      <c r="C102" s="4" t="s">
        <v>2356</v>
      </c>
      <c r="D102" s="4" t="b">
        <f>FALSE()</f>
        <v>0</v>
      </c>
      <c r="E102" s="4"/>
    </row>
    <row r="103" spans="1:5" ht="30" customHeight="1" x14ac:dyDescent="0.3">
      <c r="A103" s="2" t="s">
        <v>52</v>
      </c>
      <c r="B103" s="6" t="s">
        <v>3028</v>
      </c>
      <c r="C103" s="2" t="s">
        <v>2356</v>
      </c>
      <c r="D103" s="2" t="b">
        <f>FALSE()</f>
        <v>0</v>
      </c>
      <c r="E103" s="2"/>
    </row>
    <row r="104" spans="1:5" ht="30" customHeight="1" x14ac:dyDescent="0.3">
      <c r="A104" s="4" t="s">
        <v>52</v>
      </c>
      <c r="B104" s="7" t="s">
        <v>3029</v>
      </c>
      <c r="C104" s="4" t="s">
        <v>2902</v>
      </c>
      <c r="D104" s="4" t="b">
        <f>FALSE()</f>
        <v>0</v>
      </c>
      <c r="E104" s="4"/>
    </row>
    <row r="105" spans="1:5" ht="30" customHeight="1" x14ac:dyDescent="0.3">
      <c r="A105" s="2" t="s">
        <v>52</v>
      </c>
      <c r="B105" s="6" t="s">
        <v>3030</v>
      </c>
      <c r="C105" s="2" t="s">
        <v>2356</v>
      </c>
      <c r="D105" s="2" t="b">
        <f>FALSE()</f>
        <v>0</v>
      </c>
      <c r="E105" s="2" t="s">
        <v>3031</v>
      </c>
    </row>
    <row r="106" spans="1:5" ht="19.5" customHeight="1" x14ac:dyDescent="0.3">
      <c r="A106" s="18" t="s">
        <v>3032</v>
      </c>
      <c r="B106" s="18"/>
      <c r="C106" s="18"/>
      <c r="D106" s="18"/>
      <c r="E106" s="18"/>
    </row>
    <row r="107" spans="1:5" ht="30" customHeight="1" x14ac:dyDescent="0.3">
      <c r="A107" s="4" t="s">
        <v>53</v>
      </c>
      <c r="B107" s="7" t="s">
        <v>3033</v>
      </c>
      <c r="C107" s="4" t="s">
        <v>2356</v>
      </c>
      <c r="D107" s="4" t="b">
        <f>FALSE()</f>
        <v>0</v>
      </c>
      <c r="E107" s="4"/>
    </row>
    <row r="108" spans="1:5" ht="30" customHeight="1" x14ac:dyDescent="0.3">
      <c r="A108" s="2" t="s">
        <v>53</v>
      </c>
      <c r="B108" s="6" t="s">
        <v>3034</v>
      </c>
      <c r="C108" s="2" t="s">
        <v>2356</v>
      </c>
      <c r="D108" s="2" t="b">
        <f>FALSE()</f>
        <v>0</v>
      </c>
      <c r="E108" s="2"/>
    </row>
    <row r="109" spans="1:5" ht="30" customHeight="1" x14ac:dyDescent="0.3">
      <c r="A109" s="4" t="s">
        <v>53</v>
      </c>
      <c r="B109" s="7" t="s">
        <v>3035</v>
      </c>
      <c r="C109" s="4" t="s">
        <v>2902</v>
      </c>
      <c r="D109" s="4" t="b">
        <f>FALSE()</f>
        <v>0</v>
      </c>
      <c r="E109" s="4"/>
    </row>
    <row r="110" spans="1:5" ht="30" customHeight="1" x14ac:dyDescent="0.3">
      <c r="A110" s="2" t="s">
        <v>53</v>
      </c>
      <c r="B110" s="6" t="s">
        <v>3036</v>
      </c>
      <c r="C110" s="2" t="s">
        <v>2902</v>
      </c>
      <c r="D110" s="2" t="b">
        <f>FALSE()</f>
        <v>0</v>
      </c>
      <c r="E110" s="2"/>
    </row>
    <row r="111" spans="1:5" ht="30" customHeight="1" x14ac:dyDescent="0.3">
      <c r="A111" s="4" t="s">
        <v>53</v>
      </c>
      <c r="B111" s="7" t="s">
        <v>3037</v>
      </c>
      <c r="C111" s="4" t="s">
        <v>2902</v>
      </c>
      <c r="D111" s="4" t="b">
        <f>FALSE()</f>
        <v>0</v>
      </c>
      <c r="E111" s="4" t="s">
        <v>3038</v>
      </c>
    </row>
    <row r="112" spans="1:5" ht="30" customHeight="1" x14ac:dyDescent="0.3">
      <c r="A112" s="2" t="s">
        <v>53</v>
      </c>
      <c r="B112" s="6" t="s">
        <v>3039</v>
      </c>
      <c r="C112" s="2" t="s">
        <v>2356</v>
      </c>
      <c r="D112" s="2" t="b">
        <f>FALSE()</f>
        <v>0</v>
      </c>
      <c r="E112" s="2" t="s">
        <v>3040</v>
      </c>
    </row>
    <row r="113" spans="1:5" ht="30" customHeight="1" x14ac:dyDescent="0.3">
      <c r="A113" s="4" t="s">
        <v>53</v>
      </c>
      <c r="B113" s="7" t="s">
        <v>3041</v>
      </c>
      <c r="C113" s="4" t="s">
        <v>2902</v>
      </c>
      <c r="D113" s="4" t="b">
        <f>FALSE()</f>
        <v>0</v>
      </c>
      <c r="E113" s="4"/>
    </row>
    <row r="114" spans="1:5" ht="30" customHeight="1" x14ac:dyDescent="0.3">
      <c r="A114" s="2" t="s">
        <v>53</v>
      </c>
      <c r="B114" s="6" t="s">
        <v>3042</v>
      </c>
      <c r="C114" s="2" t="s">
        <v>2902</v>
      </c>
      <c r="D114" s="2" t="b">
        <f>FALSE()</f>
        <v>0</v>
      </c>
      <c r="E114" s="2"/>
    </row>
    <row r="115" spans="1:5" ht="30" customHeight="1" x14ac:dyDescent="0.3">
      <c r="A115" s="4" t="s">
        <v>53</v>
      </c>
      <c r="B115" s="7" t="s">
        <v>3043</v>
      </c>
      <c r="C115" s="4" t="s">
        <v>2356</v>
      </c>
      <c r="D115" s="4" t="b">
        <f>FALSE()</f>
        <v>0</v>
      </c>
      <c r="E115" s="4"/>
    </row>
    <row r="116" spans="1:5" ht="30" customHeight="1" x14ac:dyDescent="0.3">
      <c r="A116" s="2" t="s">
        <v>53</v>
      </c>
      <c r="B116" s="6" t="s">
        <v>3044</v>
      </c>
      <c r="C116" s="2" t="s">
        <v>2356</v>
      </c>
      <c r="D116" s="2" t="b">
        <f>FALSE()</f>
        <v>0</v>
      </c>
      <c r="E116" s="2"/>
    </row>
    <row r="117" spans="1:5" ht="19.5" customHeight="1" x14ac:dyDescent="0.3">
      <c r="A117" s="18" t="s">
        <v>3045</v>
      </c>
      <c r="B117" s="18"/>
      <c r="C117" s="18"/>
      <c r="D117" s="18"/>
      <c r="E117" s="18"/>
    </row>
    <row r="118" spans="1:5" ht="30" customHeight="1" x14ac:dyDescent="0.3">
      <c r="A118" s="4" t="s">
        <v>54</v>
      </c>
      <c r="B118" s="7" t="s">
        <v>3046</v>
      </c>
      <c r="C118" s="4" t="s">
        <v>2356</v>
      </c>
      <c r="D118" s="4" t="b">
        <f>FALSE()</f>
        <v>0</v>
      </c>
      <c r="E118" s="4"/>
    </row>
    <row r="119" spans="1:5" ht="30" customHeight="1" x14ac:dyDescent="0.3">
      <c r="A119" s="2" t="s">
        <v>54</v>
      </c>
      <c r="B119" s="6" t="s">
        <v>3047</v>
      </c>
      <c r="C119" s="2" t="s">
        <v>2902</v>
      </c>
      <c r="D119" s="2" t="b">
        <f>FALSE()</f>
        <v>0</v>
      </c>
      <c r="E119" s="2"/>
    </row>
    <row r="120" spans="1:5" ht="30" customHeight="1" x14ac:dyDescent="0.3">
      <c r="A120" s="4" t="s">
        <v>54</v>
      </c>
      <c r="B120" s="7" t="s">
        <v>3048</v>
      </c>
      <c r="C120" s="4" t="s">
        <v>2356</v>
      </c>
      <c r="D120" s="4" t="b">
        <f>FALSE()</f>
        <v>0</v>
      </c>
      <c r="E120" s="4"/>
    </row>
    <row r="121" spans="1:5" ht="30" customHeight="1" x14ac:dyDescent="0.3">
      <c r="A121" s="2" t="s">
        <v>54</v>
      </c>
      <c r="B121" s="6" t="s">
        <v>3049</v>
      </c>
      <c r="C121" s="2" t="s">
        <v>2902</v>
      </c>
      <c r="D121" s="2" t="b">
        <f>FALSE()</f>
        <v>0</v>
      </c>
      <c r="E121" s="2" t="s">
        <v>3050</v>
      </c>
    </row>
    <row r="122" spans="1:5" ht="30" customHeight="1" x14ac:dyDescent="0.3">
      <c r="A122" s="4" t="s">
        <v>54</v>
      </c>
      <c r="B122" s="7" t="s">
        <v>3051</v>
      </c>
      <c r="C122" s="4" t="s">
        <v>2902</v>
      </c>
      <c r="D122" s="4" t="b">
        <f>FALSE()</f>
        <v>0</v>
      </c>
      <c r="E122" s="4"/>
    </row>
    <row r="123" spans="1:5" ht="30" customHeight="1" x14ac:dyDescent="0.3">
      <c r="A123" s="2" t="s">
        <v>54</v>
      </c>
      <c r="B123" s="6" t="s">
        <v>3052</v>
      </c>
      <c r="C123" s="2" t="s">
        <v>2902</v>
      </c>
      <c r="D123" s="2" t="b">
        <f>FALSE()</f>
        <v>0</v>
      </c>
      <c r="E123" s="2"/>
    </row>
    <row r="124" spans="1:5" ht="30" customHeight="1" x14ac:dyDescent="0.3">
      <c r="A124" s="4" t="s">
        <v>54</v>
      </c>
      <c r="B124" s="7" t="s">
        <v>3053</v>
      </c>
      <c r="C124" s="4" t="s">
        <v>2902</v>
      </c>
      <c r="D124" s="4" t="b">
        <f>FALSE()</f>
        <v>0</v>
      </c>
      <c r="E124" s="4"/>
    </row>
    <row r="125" spans="1:5" ht="30" customHeight="1" x14ac:dyDescent="0.3">
      <c r="A125" s="2" t="s">
        <v>54</v>
      </c>
      <c r="B125" s="6" t="s">
        <v>3054</v>
      </c>
      <c r="C125" s="2" t="s">
        <v>2902</v>
      </c>
      <c r="D125" s="2" t="b">
        <f>FALSE()</f>
        <v>0</v>
      </c>
      <c r="E125" s="2"/>
    </row>
    <row r="126" spans="1:5" ht="30" customHeight="1" x14ac:dyDescent="0.3">
      <c r="A126" s="4" t="s">
        <v>54</v>
      </c>
      <c r="B126" s="7" t="s">
        <v>3055</v>
      </c>
      <c r="C126" s="4" t="s">
        <v>2356</v>
      </c>
      <c r="D126" s="4" t="b">
        <f>FALSE()</f>
        <v>0</v>
      </c>
      <c r="E126" s="4"/>
    </row>
    <row r="127" spans="1:5" ht="30" customHeight="1" x14ac:dyDescent="0.3">
      <c r="A127" s="2" t="s">
        <v>54</v>
      </c>
      <c r="B127" s="6" t="s">
        <v>3056</v>
      </c>
      <c r="C127" s="2" t="s">
        <v>2356</v>
      </c>
      <c r="D127" s="2" t="b">
        <f>FALSE()</f>
        <v>0</v>
      </c>
      <c r="E127" s="2"/>
    </row>
    <row r="128" spans="1:5" ht="30" customHeight="1" x14ac:dyDescent="0.3">
      <c r="A128" s="4" t="s">
        <v>54</v>
      </c>
      <c r="B128" s="7" t="s">
        <v>3057</v>
      </c>
      <c r="C128" s="4" t="s">
        <v>2902</v>
      </c>
      <c r="D128" s="4" t="b">
        <f>FALSE()</f>
        <v>0</v>
      </c>
      <c r="E128" s="4"/>
    </row>
    <row r="129" spans="1:5" ht="19.5" customHeight="1" x14ac:dyDescent="0.3">
      <c r="A129" s="18" t="s">
        <v>3058</v>
      </c>
      <c r="B129" s="18"/>
      <c r="C129" s="18"/>
      <c r="D129" s="18"/>
      <c r="E129" s="18"/>
    </row>
    <row r="130" spans="1:5" ht="30" customHeight="1" x14ac:dyDescent="0.3">
      <c r="A130" s="2" t="s">
        <v>3059</v>
      </c>
      <c r="B130" s="6" t="s">
        <v>3060</v>
      </c>
      <c r="C130" s="2" t="s">
        <v>2902</v>
      </c>
      <c r="D130" s="2" t="b">
        <f>FALSE()</f>
        <v>0</v>
      </c>
      <c r="E130" s="2" t="s">
        <v>3061</v>
      </c>
    </row>
    <row r="131" spans="1:5" ht="30" customHeight="1" x14ac:dyDescent="0.3">
      <c r="A131" s="4" t="s">
        <v>3059</v>
      </c>
      <c r="B131" s="7" t="s">
        <v>3062</v>
      </c>
      <c r="C131" s="4" t="s">
        <v>2902</v>
      </c>
      <c r="D131" s="4" t="b">
        <f>FALSE()</f>
        <v>0</v>
      </c>
      <c r="E131" s="4" t="s">
        <v>3063</v>
      </c>
    </row>
    <row r="132" spans="1:5" ht="30" customHeight="1" x14ac:dyDescent="0.3">
      <c r="A132" s="2" t="s">
        <v>3059</v>
      </c>
      <c r="B132" s="6" t="s">
        <v>3064</v>
      </c>
      <c r="C132" s="2" t="s">
        <v>2356</v>
      </c>
      <c r="D132" s="2" t="b">
        <f>FALSE()</f>
        <v>0</v>
      </c>
      <c r="E132" s="2"/>
    </row>
    <row r="133" spans="1:5" ht="30" customHeight="1" x14ac:dyDescent="0.3">
      <c r="A133" s="4" t="s">
        <v>3059</v>
      </c>
      <c r="B133" s="7" t="s">
        <v>3065</v>
      </c>
      <c r="C133" s="4" t="s">
        <v>2902</v>
      </c>
      <c r="D133" s="4" t="b">
        <f>FALSE()</f>
        <v>0</v>
      </c>
      <c r="E133" s="4"/>
    </row>
    <row r="134" spans="1:5" ht="30" customHeight="1" x14ac:dyDescent="0.3">
      <c r="A134" s="2" t="s">
        <v>3059</v>
      </c>
      <c r="B134" s="6" t="s">
        <v>3066</v>
      </c>
      <c r="C134" s="2" t="s">
        <v>2902</v>
      </c>
      <c r="D134" s="2" t="b">
        <f>FALSE()</f>
        <v>0</v>
      </c>
      <c r="E134" s="2"/>
    </row>
    <row r="135" spans="1:5" ht="30" customHeight="1" x14ac:dyDescent="0.3">
      <c r="A135" s="4" t="s">
        <v>3059</v>
      </c>
      <c r="B135" s="7" t="s">
        <v>3067</v>
      </c>
      <c r="C135" s="4" t="s">
        <v>2902</v>
      </c>
      <c r="D135" s="4" t="b">
        <f>FALSE()</f>
        <v>0</v>
      </c>
      <c r="E135" s="4"/>
    </row>
    <row r="136" spans="1:5" ht="30" customHeight="1" x14ac:dyDescent="0.3">
      <c r="A136" s="2" t="s">
        <v>3059</v>
      </c>
      <c r="B136" s="6" t="s">
        <v>3068</v>
      </c>
      <c r="C136" s="2" t="s">
        <v>2902</v>
      </c>
      <c r="D136" s="2" t="b">
        <f>FALSE()</f>
        <v>0</v>
      </c>
      <c r="E136" s="2"/>
    </row>
    <row r="137" spans="1:5" ht="30" customHeight="1" x14ac:dyDescent="0.3">
      <c r="A137" s="4" t="s">
        <v>3059</v>
      </c>
      <c r="B137" s="7" t="s">
        <v>3069</v>
      </c>
      <c r="C137" s="4" t="s">
        <v>2356</v>
      </c>
      <c r="D137" s="4" t="b">
        <f>FALSE()</f>
        <v>0</v>
      </c>
      <c r="E137" s="4"/>
    </row>
    <row r="138" spans="1:5" ht="30" customHeight="1" x14ac:dyDescent="0.3">
      <c r="A138" s="2" t="s">
        <v>3059</v>
      </c>
      <c r="B138" s="6" t="s">
        <v>3070</v>
      </c>
      <c r="C138" s="2" t="s">
        <v>2356</v>
      </c>
      <c r="D138" s="2" t="b">
        <f>FALSE()</f>
        <v>0</v>
      </c>
      <c r="E138" s="2"/>
    </row>
    <row r="139" spans="1:5" ht="30" customHeight="1" x14ac:dyDescent="0.3">
      <c r="A139" s="4" t="s">
        <v>3059</v>
      </c>
      <c r="B139" s="7" t="s">
        <v>3071</v>
      </c>
      <c r="C139" s="4" t="s">
        <v>2902</v>
      </c>
      <c r="D139" s="4" t="b">
        <f>FALSE()</f>
        <v>0</v>
      </c>
      <c r="E139" s="4" t="s">
        <v>3072</v>
      </c>
    </row>
    <row r="140" spans="1:5" ht="19.5" customHeight="1" x14ac:dyDescent="0.3">
      <c r="A140" s="18" t="s">
        <v>3073</v>
      </c>
      <c r="B140" s="18"/>
      <c r="C140" s="18"/>
      <c r="D140" s="18"/>
      <c r="E140" s="18"/>
    </row>
    <row r="141" spans="1:5" ht="30" customHeight="1" x14ac:dyDescent="0.3">
      <c r="A141" s="2" t="s">
        <v>3074</v>
      </c>
      <c r="B141" s="6" t="s">
        <v>3075</v>
      </c>
      <c r="C141" s="2" t="s">
        <v>2356</v>
      </c>
      <c r="D141" s="2" t="b">
        <f>FALSE()</f>
        <v>0</v>
      </c>
      <c r="E141" s="2" t="s">
        <v>3076</v>
      </c>
    </row>
    <row r="142" spans="1:5" ht="30" customHeight="1" x14ac:dyDescent="0.3">
      <c r="A142" s="4" t="s">
        <v>3074</v>
      </c>
      <c r="B142" s="7" t="s">
        <v>3077</v>
      </c>
      <c r="C142" s="4" t="s">
        <v>2356</v>
      </c>
      <c r="D142" s="4" t="b">
        <f>FALSE()</f>
        <v>0</v>
      </c>
      <c r="E142" s="4"/>
    </row>
    <row r="143" spans="1:5" ht="30" customHeight="1" x14ac:dyDescent="0.3">
      <c r="A143" s="2" t="s">
        <v>3074</v>
      </c>
      <c r="B143" s="6" t="s">
        <v>3078</v>
      </c>
      <c r="C143" s="2" t="s">
        <v>2356</v>
      </c>
      <c r="D143" s="2" t="b">
        <f>FALSE()</f>
        <v>0</v>
      </c>
      <c r="E143" s="2"/>
    </row>
    <row r="144" spans="1:5" ht="30" customHeight="1" x14ac:dyDescent="0.3">
      <c r="A144" s="4" t="s">
        <v>3074</v>
      </c>
      <c r="B144" s="7" t="s">
        <v>3079</v>
      </c>
      <c r="C144" s="4" t="s">
        <v>2356</v>
      </c>
      <c r="D144" s="4" t="b">
        <f>FALSE()</f>
        <v>0</v>
      </c>
      <c r="E144" s="4"/>
    </row>
    <row r="145" spans="1:5" ht="30" customHeight="1" x14ac:dyDescent="0.3">
      <c r="A145" s="2" t="s">
        <v>3074</v>
      </c>
      <c r="B145" s="6" t="s">
        <v>3080</v>
      </c>
      <c r="C145" s="2" t="s">
        <v>2356</v>
      </c>
      <c r="D145" s="2" t="b">
        <f>FALSE()</f>
        <v>0</v>
      </c>
      <c r="E145" s="2"/>
    </row>
    <row r="146" spans="1:5" ht="30" customHeight="1" x14ac:dyDescent="0.3">
      <c r="A146" s="4" t="s">
        <v>3074</v>
      </c>
      <c r="B146" s="7" t="s">
        <v>3081</v>
      </c>
      <c r="C146" s="4" t="s">
        <v>2910</v>
      </c>
      <c r="D146" s="4" t="b">
        <f>FALSE()</f>
        <v>0</v>
      </c>
      <c r="E146" s="4"/>
    </row>
    <row r="147" spans="1:5" ht="30" customHeight="1" x14ac:dyDescent="0.3">
      <c r="A147" s="2" t="s">
        <v>3074</v>
      </c>
      <c r="B147" s="6" t="s">
        <v>3082</v>
      </c>
      <c r="C147" s="2" t="s">
        <v>2356</v>
      </c>
      <c r="D147" s="2" t="b">
        <f>FALSE()</f>
        <v>0</v>
      </c>
      <c r="E147" s="2"/>
    </row>
    <row r="148" spans="1:5" ht="30" customHeight="1" x14ac:dyDescent="0.3">
      <c r="A148" s="4" t="s">
        <v>3074</v>
      </c>
      <c r="B148" s="7" t="s">
        <v>3083</v>
      </c>
      <c r="C148" s="4" t="s">
        <v>2356</v>
      </c>
      <c r="D148" s="4" t="b">
        <f>FALSE()</f>
        <v>0</v>
      </c>
      <c r="E148" s="4"/>
    </row>
    <row r="149" spans="1:5" ht="30" customHeight="1" x14ac:dyDescent="0.3">
      <c r="A149" s="2" t="s">
        <v>3074</v>
      </c>
      <c r="B149" s="6" t="s">
        <v>3084</v>
      </c>
      <c r="C149" s="2" t="s">
        <v>2356</v>
      </c>
      <c r="D149" s="2" t="b">
        <f>FALSE()</f>
        <v>0</v>
      </c>
      <c r="E149" s="2" t="s">
        <v>3085</v>
      </c>
    </row>
    <row r="150" spans="1:5" ht="30" customHeight="1" x14ac:dyDescent="0.3">
      <c r="A150" s="4" t="s">
        <v>3074</v>
      </c>
      <c r="B150" s="7" t="s">
        <v>3086</v>
      </c>
      <c r="C150" s="4" t="s">
        <v>2356</v>
      </c>
      <c r="D150" s="4" t="b">
        <f>FALSE()</f>
        <v>0</v>
      </c>
      <c r="E150" s="4" t="s">
        <v>3087</v>
      </c>
    </row>
  </sheetData>
  <autoFilter ref="A4:E4" xr:uid="{00000000-0009-0000-0000-000011000000}"/>
  <mergeCells count="15">
    <mergeCell ref="A91:E91"/>
    <mergeCell ref="A106:E106"/>
    <mergeCell ref="A117:E117"/>
    <mergeCell ref="A129:E129"/>
    <mergeCell ref="A140:E140"/>
    <mergeCell ref="A31:E31"/>
    <mergeCell ref="A44:E44"/>
    <mergeCell ref="A56:E56"/>
    <mergeCell ref="A68:E68"/>
    <mergeCell ref="A79:E79"/>
    <mergeCell ref="A1:E1"/>
    <mergeCell ref="A2:E2"/>
    <mergeCell ref="A3:D3"/>
    <mergeCell ref="A5:E5"/>
    <mergeCell ref="A18:E18"/>
  </mergeCells>
  <conditionalFormatting sqref="C6:C17">
    <cfRule type="expression" dxfId="41" priority="5">
      <formula>C6="Hard"</formula>
    </cfRule>
  </conditionalFormatting>
  <conditionalFormatting sqref="C19:C30">
    <cfRule type="expression" dxfId="40" priority="8">
      <formula>C19="Hard"</formula>
    </cfRule>
  </conditionalFormatting>
  <conditionalFormatting sqref="C32:C43">
    <cfRule type="expression" dxfId="39" priority="11">
      <formula>C32="Hard"</formula>
    </cfRule>
  </conditionalFormatting>
  <conditionalFormatting sqref="C45:C55">
    <cfRule type="expression" dxfId="38" priority="14">
      <formula>C45="Hard"</formula>
    </cfRule>
  </conditionalFormatting>
  <conditionalFormatting sqref="C57:C67">
    <cfRule type="expression" dxfId="37" priority="17">
      <formula>C57="Hard"</formula>
    </cfRule>
  </conditionalFormatting>
  <conditionalFormatting sqref="C69:C78">
    <cfRule type="expression" dxfId="36" priority="20">
      <formula>C69="Hard"</formula>
    </cfRule>
  </conditionalFormatting>
  <conditionalFormatting sqref="C80:C90">
    <cfRule type="expression" dxfId="35" priority="23">
      <formula>C80="Hard"</formula>
    </cfRule>
  </conditionalFormatting>
  <conditionalFormatting sqref="C92:C105">
    <cfRule type="expression" dxfId="34" priority="26">
      <formula>C92="Hard"</formula>
    </cfRule>
  </conditionalFormatting>
  <conditionalFormatting sqref="C107:C116">
    <cfRule type="expression" dxfId="33" priority="29">
      <formula>C107="Hard"</formula>
    </cfRule>
  </conditionalFormatting>
  <conditionalFormatting sqref="C118:C128">
    <cfRule type="expression" dxfId="32" priority="32">
      <formula>C118="Hard"</formula>
    </cfRule>
  </conditionalFormatting>
  <conditionalFormatting sqref="C130:C139">
    <cfRule type="expression" dxfId="31" priority="35">
      <formula>C130="Hard"</formula>
    </cfRule>
  </conditionalFormatting>
  <conditionalFormatting sqref="C141:C150">
    <cfRule type="expression" dxfId="30" priority="38">
      <formula>C141="Hard"</formula>
    </cfRule>
  </conditionalFormatting>
  <conditionalFormatting sqref="D6:D17">
    <cfRule type="expression" dxfId="29" priority="3">
      <formula>$D6=1</formula>
    </cfRule>
    <cfRule type="expression" dxfId="28" priority="4">
      <formula>$D6=0</formula>
    </cfRule>
  </conditionalFormatting>
  <conditionalFormatting sqref="D19:D30">
    <cfRule type="expression" dxfId="27" priority="6">
      <formula>$D19=1</formula>
    </cfRule>
    <cfRule type="expression" dxfId="26" priority="7">
      <formula>$D19=0</formula>
    </cfRule>
  </conditionalFormatting>
  <conditionalFormatting sqref="D32:D43">
    <cfRule type="expression" dxfId="25" priority="9">
      <formula>$D32=1</formula>
    </cfRule>
    <cfRule type="expression" dxfId="24" priority="10">
      <formula>$D32=0</formula>
    </cfRule>
  </conditionalFormatting>
  <conditionalFormatting sqref="D45:D55">
    <cfRule type="expression" dxfId="23" priority="12">
      <formula>$D45=1</formula>
    </cfRule>
    <cfRule type="expression" dxfId="22" priority="13">
      <formula>$D45=0</formula>
    </cfRule>
  </conditionalFormatting>
  <conditionalFormatting sqref="D57:D67">
    <cfRule type="expression" dxfId="21" priority="16">
      <formula>$D57=0</formula>
    </cfRule>
    <cfRule type="expression" dxfId="20" priority="15">
      <formula>$D57=1</formula>
    </cfRule>
  </conditionalFormatting>
  <conditionalFormatting sqref="D69:D78">
    <cfRule type="expression" dxfId="19" priority="19">
      <formula>$D69=0</formula>
    </cfRule>
    <cfRule type="expression" dxfId="18" priority="18">
      <formula>$D69=1</formula>
    </cfRule>
  </conditionalFormatting>
  <conditionalFormatting sqref="D80:D90">
    <cfRule type="expression" dxfId="17" priority="21">
      <formula>$D80=1</formula>
    </cfRule>
    <cfRule type="expression" dxfId="16" priority="22">
      <formula>$D80=0</formula>
    </cfRule>
  </conditionalFormatting>
  <conditionalFormatting sqref="D92:D105">
    <cfRule type="expression" dxfId="15" priority="24">
      <formula>$D92=1</formula>
    </cfRule>
    <cfRule type="expression" dxfId="14" priority="25">
      <formula>$D92=0</formula>
    </cfRule>
  </conditionalFormatting>
  <conditionalFormatting sqref="D107:D116">
    <cfRule type="expression" dxfId="13" priority="27">
      <formula>$D107=1</formula>
    </cfRule>
    <cfRule type="expression" dxfId="12" priority="28">
      <formula>$D107=0</formula>
    </cfRule>
  </conditionalFormatting>
  <conditionalFormatting sqref="D118:D128">
    <cfRule type="expression" dxfId="11" priority="30">
      <formula>$D118=1</formula>
    </cfRule>
    <cfRule type="expression" dxfId="10" priority="31">
      <formula>$D118=0</formula>
    </cfRule>
  </conditionalFormatting>
  <conditionalFormatting sqref="D130:D139">
    <cfRule type="expression" dxfId="9" priority="33">
      <formula>$D130=1</formula>
    </cfRule>
    <cfRule type="expression" dxfId="8" priority="34">
      <formula>$D130=0</formula>
    </cfRule>
  </conditionalFormatting>
  <conditionalFormatting sqref="D141:D150">
    <cfRule type="expression" dxfId="7" priority="36">
      <formula>$D141=1</formula>
    </cfRule>
    <cfRule type="expression" dxfId="6" priority="37">
      <formula>$D141=0</formula>
    </cfRule>
  </conditionalFormatting>
  <conditionalFormatting sqref="E3">
    <cfRule type="dataBar" priority="2">
      <dataBar>
        <cfvo type="num" val="0"/>
        <cfvo type="num" val="100"/>
        <color rgb="FF8FC1E9"/>
      </dataBar>
      <extLst>
        <ext xmlns:x14="http://schemas.microsoft.com/office/spreadsheetml/2009/9/main" uri="{B025F937-C7B1-47D3-B67F-A62EFF666E3E}">
          <x14:id>{B9C7E9E8-3DAE-4F81-A4A3-C484AB8D3040}</x14:id>
        </ext>
      </extLst>
    </cfRule>
  </conditionalFormatting>
  <dataValidations count="2">
    <dataValidation type="list" allowBlank="1" sqref="D6:D17 D141:D150 D130:D139 D118:D128 D107:D116 D92:D105 D80:D90 D69:D78 D57:D67 D45:D55 D32:D43 D19:D30" xr:uid="{00000000-0002-0000-1100-000000000000}">
      <formula1>"TRUE,FALSE"</formula1>
      <formula2>0</formula2>
    </dataValidation>
    <dataValidation type="list" allowBlank="1" sqref="C6:C17 C141:C150 C130:C139 C118:C128 C107:C116 C92:C105 C80:C90 C69:C78 C57:C67 C45:C55 C32:C43 C19:C30" xr:uid="{00000000-0002-0000-1100-000001000000}">
      <formula1>"Easy,Medium,Hard"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C7E9E8-3DAE-4F81-A4A3-C484AB8D3040}">
            <x14:dataBar axisPosition="none">
              <x14:cfvo type="num">
                <xm:f>0</xm:f>
              </x14:cfvo>
              <x14:cfvo type="num">
                <xm:f>100</xm:f>
              </x14:cfvo>
              <x14:negativeFillColor rgb="FF8FC1E9"/>
            </x14:dataBar>
          </x14:cfRule>
          <xm:sqref>E3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43"/>
  <sheetViews>
    <sheetView showGridLines="0" zoomScaleNormal="100" workbookViewId="0">
      <pane ySplit="6" topLeftCell="A93" activePane="bottomLeft" state="frozen"/>
      <selection pane="bottomLeft" sqref="A1:E1"/>
    </sheetView>
  </sheetViews>
  <sheetFormatPr defaultColWidth="8.6640625" defaultRowHeight="14.4" x14ac:dyDescent="0.3"/>
  <cols>
    <col min="1" max="1" width="24" customWidth="1"/>
    <col min="2" max="2" width="26" customWidth="1"/>
    <col min="3" max="3" width="34" customWidth="1"/>
    <col min="4" max="4" width="14" customWidth="1"/>
    <col min="5" max="5" width="15" customWidth="1"/>
  </cols>
  <sheetData>
    <row r="1" spans="1:5" ht="33.75" customHeight="1" x14ac:dyDescent="0.3">
      <c r="A1" s="19" t="s">
        <v>3088</v>
      </c>
      <c r="B1" s="19"/>
      <c r="C1" s="19"/>
      <c r="D1" s="19"/>
      <c r="E1" s="19"/>
    </row>
    <row r="2" spans="1:5" ht="31.5" customHeight="1" x14ac:dyDescent="0.3">
      <c r="A2" s="22" t="s">
        <v>3089</v>
      </c>
      <c r="B2" s="22"/>
      <c r="C2" s="22"/>
      <c r="D2" s="22"/>
      <c r="E2" s="22"/>
    </row>
    <row r="3" spans="1:5" ht="31.5" customHeight="1" x14ac:dyDescent="0.3">
      <c r="A3" s="13" t="s">
        <v>40</v>
      </c>
      <c r="B3" s="13" t="s">
        <v>9</v>
      </c>
      <c r="C3" s="13" t="s">
        <v>3090</v>
      </c>
      <c r="D3" s="13" t="s">
        <v>73</v>
      </c>
      <c r="E3" s="13" t="s">
        <v>41</v>
      </c>
    </row>
    <row r="4" spans="1:5" ht="18" customHeight="1" x14ac:dyDescent="0.3">
      <c r="A4" s="14">
        <f>'Revision Planner'!B15</f>
        <v>237</v>
      </c>
      <c r="B4" s="14">
        <f>'Revision Planner'!C15</f>
        <v>2</v>
      </c>
      <c r="C4" s="14">
        <f>COUNTIF('Python Advanced'!A5:A34,"In Progress")+COUNTIF('Data Structures &amp; Algorithms'!A5:A38,"In Progress")+COUNTIF('Operating Systems'!A5:A33,"In Progress")+COUNTIF('Computer Networking'!A5:A29,"In Progress")+COUNTIF(Databases!A5:A24,"In Progress")+COUNTIF(Mathematics!A5:A28,"In Progress")+COUNTIF('Machine Learning'!A5:A23,"In Progress")+COUNTIF('Deep Learning'!A5:A23,"In Progress")+COUNTIF('LLM Engineering'!A5:A37,"In Progress")+COUNTIF('CUDA &amp; GPU Programming'!A5:A22,"In Progress")+COUNTIF('Distributed Systems'!A5:A29,"In Progress")</f>
        <v>0</v>
      </c>
      <c r="D4" s="14">
        <f>COUNTIF('Python Advanced'!A5:A34,"Not Started")+COUNTIF('Data Structures &amp; Algorithms'!A5:A38,"Not Started")+COUNTIF('Operating Systems'!A5:A33,"Not Started")+COUNTIF('Computer Networking'!A5:A29,"Not Started")+COUNTIF(Databases!A5:A24,"Not Started")+COUNTIF(Mathematics!A5:A28,"Not Started")+COUNTIF('Machine Learning'!A5:A23,"Not Started")+COUNTIF('Deep Learning'!A5:A23,"Not Started")+COUNTIF('LLM Engineering'!A5:A37,"Not Started")+COUNTIF('CUDA &amp; GPU Programming'!A5:A22,"Not Started")+COUNTIF('Distributed Systems'!A5:A29,"Not Started")</f>
        <v>235</v>
      </c>
      <c r="E4" s="14">
        <f>IF(A4=0,0,ROUND(B4/A4*100,0))</f>
        <v>1</v>
      </c>
    </row>
    <row r="5" spans="1:5" ht="6" customHeight="1" x14ac:dyDescent="0.3"/>
    <row r="6" spans="1:5" ht="18" customHeight="1" x14ac:dyDescent="0.3">
      <c r="A6" s="15" t="s">
        <v>5</v>
      </c>
      <c r="B6" s="15" t="s">
        <v>6</v>
      </c>
      <c r="C6" s="15" t="s">
        <v>7</v>
      </c>
      <c r="D6" s="15" t="s">
        <v>58</v>
      </c>
      <c r="E6" s="15" t="s">
        <v>69</v>
      </c>
    </row>
    <row r="7" spans="1:5" x14ac:dyDescent="0.3">
      <c r="A7" s="16" t="s">
        <v>44</v>
      </c>
      <c r="B7" s="16" t="str">
        <f>'Python Advanced'!B6</f>
        <v>CPython Internals</v>
      </c>
      <c r="C7" s="16" t="str">
        <f>'Python Advanced'!C6</f>
        <v>PyObject struct &amp; object layout</v>
      </c>
      <c r="D7" s="16" t="str">
        <f>'Python Advanced'!A6</f>
        <v>Completed</v>
      </c>
      <c r="E7" s="17">
        <f>'Python Advanced'!O6</f>
        <v>46239</v>
      </c>
    </row>
    <row r="8" spans="1:5" x14ac:dyDescent="0.3">
      <c r="A8" s="16" t="s">
        <v>44</v>
      </c>
      <c r="B8" s="16" t="str">
        <f>'Python Advanced'!B7</f>
        <v>Python Memory Model</v>
      </c>
      <c r="C8" s="16" t="str">
        <f>'Python Advanced'!C7</f>
        <v>Private heap &amp; pymalloc arenas</v>
      </c>
      <c r="D8" s="16" t="str">
        <f>'Python Advanced'!A7</f>
        <v>Not Started</v>
      </c>
      <c r="E8" s="17">
        <f>'Python Advanced'!O7</f>
        <v>0</v>
      </c>
    </row>
    <row r="9" spans="1:5" x14ac:dyDescent="0.3">
      <c r="A9" s="16" t="s">
        <v>44</v>
      </c>
      <c r="B9" s="16" t="str">
        <f>'Python Advanced'!B8</f>
        <v>Reference Counting</v>
      </c>
      <c r="C9" s="16" t="str">
        <f>'Python Advanced'!C8</f>
        <v>Refcounting mechanics &amp; INCREF/DECREF</v>
      </c>
      <c r="D9" s="16" t="str">
        <f>'Python Advanced'!A8</f>
        <v>Not Started</v>
      </c>
      <c r="E9" s="17">
        <f>'Python Advanced'!O8</f>
        <v>0</v>
      </c>
    </row>
    <row r="10" spans="1:5" x14ac:dyDescent="0.3">
      <c r="A10" s="16" t="s">
        <v>44</v>
      </c>
      <c r="B10" s="16" t="str">
        <f>'Python Advanced'!B9</f>
        <v>Garbage Collection</v>
      </c>
      <c r="C10" s="16" t="str">
        <f>'Python Advanced'!C9</f>
        <v>Generational GC &amp; cycle detection</v>
      </c>
      <c r="D10" s="16" t="str">
        <f>'Python Advanced'!A9</f>
        <v>Not Started</v>
      </c>
      <c r="E10" s="17">
        <f>'Python Advanced'!O9</f>
        <v>0</v>
      </c>
    </row>
    <row r="11" spans="1:5" x14ac:dyDescent="0.3">
      <c r="A11" s="16" t="s">
        <v>44</v>
      </c>
      <c r="B11" s="16" t="str">
        <f>'Python Advanced'!B10</f>
        <v>Descriptors</v>
      </c>
      <c r="C11" s="16" t="str">
        <f>'Python Advanced'!C10</f>
        <v>Data vs non-data descriptors, __get__/__set__</v>
      </c>
      <c r="D11" s="16" t="str">
        <f>'Python Advanced'!A10</f>
        <v>Not Started</v>
      </c>
      <c r="E11" s="17">
        <f>'Python Advanced'!O10</f>
        <v>0</v>
      </c>
    </row>
    <row r="12" spans="1:5" x14ac:dyDescent="0.3">
      <c r="A12" s="16" t="s">
        <v>44</v>
      </c>
      <c r="B12" s="16" t="str">
        <f>'Python Advanced'!B11</f>
        <v>Decorators Internals</v>
      </c>
      <c r="C12" s="16" t="str">
        <f>'Python Advanced'!C11</f>
        <v>Closures, functools.wraps, decorator factories</v>
      </c>
      <c r="D12" s="16" t="str">
        <f>'Python Advanced'!A11</f>
        <v>Not Started</v>
      </c>
      <c r="E12" s="17">
        <f>'Python Advanced'!O11</f>
        <v>0</v>
      </c>
    </row>
    <row r="13" spans="1:5" x14ac:dyDescent="0.3">
      <c r="A13" s="16" t="s">
        <v>44</v>
      </c>
      <c r="B13" s="16" t="str">
        <f>'Python Advanced'!B12</f>
        <v>Metaclasses</v>
      </c>
      <c r="C13" s="16" t="str">
        <f>'Python Advanced'!C12</f>
        <v>type(), __new__ vs __init__, metaclass conflicts</v>
      </c>
      <c r="D13" s="16" t="str">
        <f>'Python Advanced'!A12</f>
        <v>Not Started</v>
      </c>
      <c r="E13" s="17">
        <f>'Python Advanced'!O12</f>
        <v>0</v>
      </c>
    </row>
    <row r="14" spans="1:5" x14ac:dyDescent="0.3">
      <c r="A14" s="16" t="s">
        <v>44</v>
      </c>
      <c r="B14" s="16" t="str">
        <f>'Python Advanced'!B13</f>
        <v>Slots</v>
      </c>
      <c r="C14" s="16" t="str">
        <f>'Python Advanced'!C13</f>
        <v>__slots__ memory savings &amp; limitations</v>
      </c>
      <c r="D14" s="16" t="str">
        <f>'Python Advanced'!A13</f>
        <v>Not Started</v>
      </c>
      <c r="E14" s="17">
        <f>'Python Advanced'!O13</f>
        <v>0</v>
      </c>
    </row>
    <row r="15" spans="1:5" x14ac:dyDescent="0.3">
      <c r="A15" s="16" t="s">
        <v>44</v>
      </c>
      <c r="B15" s="16" t="str">
        <f>'Python Advanced'!B15</f>
        <v>GIL</v>
      </c>
      <c r="C15" s="16" t="str">
        <f>'Python Advanced'!C15</f>
        <v>Global Interpreter Lock mechanics &amp; 3.13 free-threading</v>
      </c>
      <c r="D15" s="16" t="str">
        <f>'Python Advanced'!A15</f>
        <v>Completed</v>
      </c>
      <c r="E15" s="17">
        <f>'Python Advanced'!O15</f>
        <v>0</v>
      </c>
    </row>
    <row r="16" spans="1:5" x14ac:dyDescent="0.3">
      <c r="A16" s="16" t="s">
        <v>44</v>
      </c>
      <c r="B16" s="16" t="str">
        <f>'Python Advanced'!B16</f>
        <v>Multiprocessing Internals</v>
      </c>
      <c r="C16" s="16" t="str">
        <f>'Python Advanced'!C16</f>
        <v>Process pools, pickling, shared memory</v>
      </c>
      <c r="D16" s="16" t="str">
        <f>'Python Advanced'!A16</f>
        <v>Not Started</v>
      </c>
      <c r="E16" s="17">
        <f>'Python Advanced'!O16</f>
        <v>0</v>
      </c>
    </row>
    <row r="17" spans="1:5" x14ac:dyDescent="0.3">
      <c r="A17" s="16" t="s">
        <v>44</v>
      </c>
      <c r="B17" s="16" t="str">
        <f>'Python Advanced'!B17</f>
        <v>Threading</v>
      </c>
      <c r="C17" s="16" t="str">
        <f>'Python Advanced'!C17</f>
        <v>Thread pools, locks, condition variables</v>
      </c>
      <c r="D17" s="16" t="str">
        <f>'Python Advanced'!A17</f>
        <v>Not Started</v>
      </c>
      <c r="E17" s="17">
        <f>'Python Advanced'!O17</f>
        <v>0</v>
      </c>
    </row>
    <row r="18" spans="1:5" x14ac:dyDescent="0.3">
      <c r="A18" s="16" t="s">
        <v>44</v>
      </c>
      <c r="B18" s="16" t="str">
        <f>'Python Advanced'!B18</f>
        <v>Asyncio Internals</v>
      </c>
      <c r="C18" s="16" t="str">
        <f>'Python Advanced'!C18</f>
        <v>Event loop, tasks, futures</v>
      </c>
      <c r="D18" s="16" t="str">
        <f>'Python Advanced'!A18</f>
        <v>Not Started</v>
      </c>
      <c r="E18" s="17">
        <f>'Python Advanced'!O18</f>
        <v>0</v>
      </c>
    </row>
    <row r="19" spans="1:5" x14ac:dyDescent="0.3">
      <c r="A19" s="16" t="s">
        <v>44</v>
      </c>
      <c r="B19" s="16" t="str">
        <f>'Python Advanced'!B19</f>
        <v>Selectors</v>
      </c>
      <c r="C19" s="16" t="str">
        <f>'Python Advanced'!C19</f>
        <v>selectors module &amp; epoll/kqueue abstraction</v>
      </c>
      <c r="D19" s="16" t="str">
        <f>'Python Advanced'!A19</f>
        <v>Not Started</v>
      </c>
      <c r="E19" s="17">
        <f>'Python Advanced'!O19</f>
        <v>0</v>
      </c>
    </row>
    <row r="20" spans="1:5" x14ac:dyDescent="0.3">
      <c r="A20" s="16" t="s">
        <v>44</v>
      </c>
      <c r="B20" s="16" t="str">
        <f>'Python Advanced'!B20</f>
        <v>Concurrency Models</v>
      </c>
      <c r="C20" s="16" t="str">
        <f>'Python Advanced'!C20</f>
        <v>Choosing threads vs processes vs asyncio</v>
      </c>
      <c r="D20" s="16" t="str">
        <f>'Python Advanced'!A20</f>
        <v>Not Started</v>
      </c>
      <c r="E20" s="17">
        <f>'Python Advanced'!O20</f>
        <v>0</v>
      </c>
    </row>
    <row r="21" spans="1:5" x14ac:dyDescent="0.3">
      <c r="A21" s="16" t="s">
        <v>44</v>
      </c>
      <c r="B21" s="16" t="str">
        <f>'Python Advanced'!B22</f>
        <v>Bytecode</v>
      </c>
      <c r="C21" s="16" t="str">
        <f>'Python Advanced'!C22</f>
        <v>dis module, stack-based VM execution</v>
      </c>
      <c r="D21" s="16" t="str">
        <f>'Python Advanced'!A22</f>
        <v>Not Started</v>
      </c>
      <c r="E21" s="17">
        <f>'Python Advanced'!O22</f>
        <v>0</v>
      </c>
    </row>
    <row r="22" spans="1:5" x14ac:dyDescent="0.3">
      <c r="A22" s="16" t="s">
        <v>44</v>
      </c>
      <c r="B22" s="16" t="str">
        <f>'Python Advanced'!B23</f>
        <v>Python Compiler</v>
      </c>
      <c r="C22" s="16" t="str">
        <f>'Python Advanced'!C23</f>
        <v>AST, compile phases, peephole optimizer</v>
      </c>
      <c r="D22" s="16" t="str">
        <f>'Python Advanced'!A23</f>
        <v>Not Started</v>
      </c>
      <c r="E22" s="17">
        <f>'Python Advanced'!O23</f>
        <v>0</v>
      </c>
    </row>
    <row r="23" spans="1:5" x14ac:dyDescent="0.3">
      <c r="A23" s="16" t="s">
        <v>44</v>
      </c>
      <c r="B23" s="16" t="str">
        <f>'Python Advanced'!B24</f>
        <v>Context Managers</v>
      </c>
      <c r="C23" s="16" t="str">
        <f>'Python Advanced'!C24</f>
        <v>__enter__/__exit__, contextlib, ExitStack</v>
      </c>
      <c r="D23" s="16" t="str">
        <f>'Python Advanced'!A24</f>
        <v>Not Started</v>
      </c>
      <c r="E23" s="17">
        <f>'Python Advanced'!O24</f>
        <v>0</v>
      </c>
    </row>
    <row r="24" spans="1:5" x14ac:dyDescent="0.3">
      <c r="A24" s="16" t="s">
        <v>44</v>
      </c>
      <c r="B24" s="16" t="str">
        <f>'Python Advanced'!B25</f>
        <v>Type Hints</v>
      </c>
      <c r="C24" s="16" t="str">
        <f>'Python Advanced'!C25</f>
        <v>Structural typing, Protocol, overload</v>
      </c>
      <c r="D24" s="16" t="str">
        <f>'Python Advanced'!A25</f>
        <v>Not Started</v>
      </c>
      <c r="E24" s="17">
        <f>'Python Advanced'!O25</f>
        <v>0</v>
      </c>
    </row>
    <row r="25" spans="1:5" x14ac:dyDescent="0.3">
      <c r="A25" s="16" t="s">
        <v>44</v>
      </c>
      <c r="B25" s="16" t="str">
        <f>'Python Advanced'!B26</f>
        <v>Generics</v>
      </c>
      <c r="C25" s="16" t="str">
        <f>'Python Advanced'!C26</f>
        <v>TypeVar, Generic classes, PEP 695 syntax</v>
      </c>
      <c r="D25" s="16" t="str">
        <f>'Python Advanced'!A26</f>
        <v>Not Started</v>
      </c>
      <c r="E25" s="17">
        <f>'Python Advanced'!O26</f>
        <v>0</v>
      </c>
    </row>
    <row r="26" spans="1:5" x14ac:dyDescent="0.3">
      <c r="A26" s="16" t="s">
        <v>44</v>
      </c>
      <c r="B26" s="16" t="str">
        <f>'Python Advanced'!B27</f>
        <v>Profiling</v>
      </c>
      <c r="C26" s="16" t="str">
        <f>'Python Advanced'!C27</f>
        <v>cProfile, py-spy, line_profiler</v>
      </c>
      <c r="D26" s="16" t="str">
        <f>'Python Advanced'!A27</f>
        <v>Not Started</v>
      </c>
      <c r="E26" s="17">
        <f>'Python Advanced'!O27</f>
        <v>0</v>
      </c>
    </row>
    <row r="27" spans="1:5" x14ac:dyDescent="0.3">
      <c r="A27" s="16" t="s">
        <v>44</v>
      </c>
      <c r="B27" s="16" t="str">
        <f>'Python Advanced'!B28</f>
        <v>Optimization</v>
      </c>
      <c r="C27" s="16" t="str">
        <f>'Python Advanced'!C28</f>
        <v>Algorithmic vs micro-optimization, caching</v>
      </c>
      <c r="D27" s="16" t="str">
        <f>'Python Advanced'!A28</f>
        <v>Not Started</v>
      </c>
      <c r="E27" s="17">
        <f>'Python Advanced'!O28</f>
        <v>0</v>
      </c>
    </row>
    <row r="28" spans="1:5" x14ac:dyDescent="0.3">
      <c r="A28" s="16" t="s">
        <v>44</v>
      </c>
      <c r="B28" s="16" t="str">
        <f>'Python Advanced'!B30</f>
        <v>C Extensions</v>
      </c>
      <c r="C28" s="16" t="str">
        <f>'Python Advanced'!C30</f>
        <v>Writing a CPython C extension module</v>
      </c>
      <c r="D28" s="16" t="str">
        <f>'Python Advanced'!A30</f>
        <v>Not Started</v>
      </c>
      <c r="E28" s="17">
        <f>'Python Advanced'!O30</f>
        <v>0</v>
      </c>
    </row>
    <row r="29" spans="1:5" x14ac:dyDescent="0.3">
      <c r="A29" s="16" t="s">
        <v>44</v>
      </c>
      <c r="B29" s="16" t="str">
        <f>'Python Advanced'!B31</f>
        <v>Cython</v>
      </c>
      <c r="C29" s="16" t="str">
        <f>'Python Advanced'!C31</f>
        <v>Typed Cython, cdef, memoryviews</v>
      </c>
      <c r="D29" s="16" t="str">
        <f>'Python Advanced'!A31</f>
        <v>Not Started</v>
      </c>
      <c r="E29" s="17">
        <f>'Python Advanced'!O31</f>
        <v>0</v>
      </c>
    </row>
    <row r="30" spans="1:5" x14ac:dyDescent="0.3">
      <c r="A30" s="16" t="s">
        <v>44</v>
      </c>
      <c r="B30" s="16" t="str">
        <f>'Python Advanced'!B32</f>
        <v>PyBind11</v>
      </c>
      <c r="C30" s="16" t="str">
        <f>'Python Advanced'!C32</f>
        <v>Exposing C++ to Python, type casting</v>
      </c>
      <c r="D30" s="16" t="str">
        <f>'Python Advanced'!A32</f>
        <v>Not Started</v>
      </c>
      <c r="E30" s="17">
        <f>'Python Advanced'!O32</f>
        <v>0</v>
      </c>
    </row>
    <row r="31" spans="1:5" x14ac:dyDescent="0.3">
      <c r="A31" s="16" t="s">
        <v>44</v>
      </c>
      <c r="B31" s="16" t="str">
        <f>'Python Advanced'!B33</f>
        <v>NumPy Internals</v>
      </c>
      <c r="C31" s="16" t="str">
        <f>'Python Advanced'!C33</f>
        <v>ndarray memory layout, strides, broadcasting</v>
      </c>
      <c r="D31" s="16" t="str">
        <f>'Python Advanced'!A33</f>
        <v>Not Started</v>
      </c>
      <c r="E31" s="17">
        <f>'Python Advanced'!O33</f>
        <v>0</v>
      </c>
    </row>
    <row r="32" spans="1:5" x14ac:dyDescent="0.3">
      <c r="A32" s="16" t="s">
        <v>44</v>
      </c>
      <c r="B32" s="16" t="str">
        <f>'Python Advanced'!B34</f>
        <v>PyTorch Internals</v>
      </c>
      <c r="C32" s="16" t="str">
        <f>'Python Advanced'!C34</f>
        <v>Tensor storage, autograd graph, dispatcher</v>
      </c>
      <c r="D32" s="16" t="str">
        <f>'Python Advanced'!A34</f>
        <v>Not Started</v>
      </c>
      <c r="E32" s="17">
        <f>'Python Advanced'!O34</f>
        <v>0</v>
      </c>
    </row>
    <row r="33" spans="1:5" x14ac:dyDescent="0.3">
      <c r="A33" s="16" t="s">
        <v>45</v>
      </c>
      <c r="B33" s="16" t="str">
        <f>'Data Structures &amp; Algorithms'!B6</f>
        <v>Advanced Arrays</v>
      </c>
      <c r="C33" s="16" t="str">
        <f>'Data Structures &amp; Algorithms'!C6</f>
        <v>In-place rotation, Dutch National Flag, cyclic sort</v>
      </c>
      <c r="D33" s="16" t="str">
        <f>'Data Structures &amp; Algorithms'!A6</f>
        <v>Not Started</v>
      </c>
      <c r="E33" s="17">
        <f>'Data Structures &amp; Algorithms'!O6</f>
        <v>0</v>
      </c>
    </row>
    <row r="34" spans="1:5" x14ac:dyDescent="0.3">
      <c r="A34" s="16" t="s">
        <v>45</v>
      </c>
      <c r="B34" s="16" t="str">
        <f>'Data Structures &amp; Algorithms'!B7</f>
        <v>Bit Manipulation</v>
      </c>
      <c r="C34" s="16" t="str">
        <f>'Data Structures &amp; Algorithms'!C7</f>
        <v>XOR tricks, bitmasking, popcount</v>
      </c>
      <c r="D34" s="16" t="str">
        <f>'Data Structures &amp; Algorithms'!A7</f>
        <v>Not Started</v>
      </c>
      <c r="E34" s="17">
        <f>'Data Structures &amp; Algorithms'!O7</f>
        <v>0</v>
      </c>
    </row>
    <row r="35" spans="1:5" x14ac:dyDescent="0.3">
      <c r="A35" s="16" t="s">
        <v>45</v>
      </c>
      <c r="B35" s="16" t="str">
        <f>'Data Structures &amp; Algorithms'!B8</f>
        <v>Binary Search</v>
      </c>
      <c r="C35" s="16" t="str">
        <f>'Data Structures &amp; Algorithms'!C8</f>
        <v>Search space reduction, binary search on answer</v>
      </c>
      <c r="D35" s="16" t="str">
        <f>'Data Structures &amp; Algorithms'!A8</f>
        <v>Not Started</v>
      </c>
      <c r="E35" s="17">
        <f>'Data Structures &amp; Algorithms'!O8</f>
        <v>0</v>
      </c>
    </row>
    <row r="36" spans="1:5" x14ac:dyDescent="0.3">
      <c r="A36" s="16" t="s">
        <v>45</v>
      </c>
      <c r="B36" s="16" t="str">
        <f>'Data Structures &amp; Algorithms'!B9</f>
        <v>Prefix Sum</v>
      </c>
      <c r="C36" s="16" t="str">
        <f>'Data Structures &amp; Algorithms'!C9</f>
        <v>1D/2D prefix sums, difference arrays</v>
      </c>
      <c r="D36" s="16" t="str">
        <f>'Data Structures &amp; Algorithms'!A9</f>
        <v>Not Started</v>
      </c>
      <c r="E36" s="17">
        <f>'Data Structures &amp; Algorithms'!O9</f>
        <v>0</v>
      </c>
    </row>
    <row r="37" spans="1:5" x14ac:dyDescent="0.3">
      <c r="A37" s="16" t="s">
        <v>45</v>
      </c>
      <c r="B37" s="16" t="str">
        <f>'Data Structures &amp; Algorithms'!B10</f>
        <v>Sliding Window</v>
      </c>
      <c r="C37" s="16" t="str">
        <f>'Data Structures &amp; Algorithms'!C10</f>
        <v>Fixed &amp; variable window, two pointers</v>
      </c>
      <c r="D37" s="16" t="str">
        <f>'Data Structures &amp; Algorithms'!A10</f>
        <v>Not Started</v>
      </c>
      <c r="E37" s="17">
        <f>'Data Structures &amp; Algorithms'!O10</f>
        <v>0</v>
      </c>
    </row>
    <row r="38" spans="1:5" x14ac:dyDescent="0.3">
      <c r="A38" s="16" t="s">
        <v>45</v>
      </c>
      <c r="B38" s="16" t="str">
        <f>'Data Structures &amp; Algorithms'!B11</f>
        <v>Monotonic Stack</v>
      </c>
      <c r="C38" s="16" t="str">
        <f>'Data Structures &amp; Algorithms'!C11</f>
        <v>Next greater/smaller element patterns</v>
      </c>
      <c r="D38" s="16" t="str">
        <f>'Data Structures &amp; Algorithms'!A11</f>
        <v>Not Started</v>
      </c>
      <c r="E38" s="17">
        <f>'Data Structures &amp; Algorithms'!O11</f>
        <v>0</v>
      </c>
    </row>
    <row r="39" spans="1:5" x14ac:dyDescent="0.3">
      <c r="A39" s="16" t="s">
        <v>45</v>
      </c>
      <c r="B39" s="16" t="str">
        <f>'Data Structures &amp; Algorithms'!B12</f>
        <v>Monotonic Queue</v>
      </c>
      <c r="C39" s="16" t="str">
        <f>'Data Structures &amp; Algorithms'!C12</f>
        <v>Sliding window maximum via deque</v>
      </c>
      <c r="D39" s="16" t="str">
        <f>'Data Structures &amp; Algorithms'!A12</f>
        <v>Not Started</v>
      </c>
      <c r="E39" s="17">
        <f>'Data Structures &amp; Algorithms'!O12</f>
        <v>0</v>
      </c>
    </row>
    <row r="40" spans="1:5" x14ac:dyDescent="0.3">
      <c r="A40" s="16" t="s">
        <v>45</v>
      </c>
      <c r="B40" s="16" t="str">
        <f>'Data Structures &amp; Algorithms'!B14</f>
        <v>Trie</v>
      </c>
      <c r="C40" s="16" t="str">
        <f>'Data Structures &amp; Algorithms'!C14</f>
        <v>Prefix tree construction &amp; search</v>
      </c>
      <c r="D40" s="16" t="str">
        <f>'Data Structures &amp; Algorithms'!A14</f>
        <v>Not Started</v>
      </c>
      <c r="E40" s="17">
        <f>'Data Structures &amp; Algorithms'!O14</f>
        <v>0</v>
      </c>
    </row>
    <row r="41" spans="1:5" x14ac:dyDescent="0.3">
      <c r="A41" s="16" t="s">
        <v>45</v>
      </c>
      <c r="B41" s="16" t="str">
        <f>'Data Structures &amp; Algorithms'!B15</f>
        <v>Fenwick Tree</v>
      </c>
      <c r="C41" s="16" t="str">
        <f>'Data Structures &amp; Algorithms'!C15</f>
        <v>Binary Indexed Tree for range sum/update</v>
      </c>
      <c r="D41" s="16" t="str">
        <f>'Data Structures &amp; Algorithms'!A15</f>
        <v>Not Started</v>
      </c>
      <c r="E41" s="17">
        <f>'Data Structures &amp; Algorithms'!O15</f>
        <v>0</v>
      </c>
    </row>
    <row r="42" spans="1:5" x14ac:dyDescent="0.3">
      <c r="A42" s="16" t="s">
        <v>45</v>
      </c>
      <c r="B42" s="16" t="str">
        <f>'Data Structures &amp; Algorithms'!B16</f>
        <v>Segment Tree</v>
      </c>
      <c r="C42" s="16" t="str">
        <f>'Data Structures &amp; Algorithms'!C16</f>
        <v>Range queries with lazy propagation</v>
      </c>
      <c r="D42" s="16" t="str">
        <f>'Data Structures &amp; Algorithms'!A16</f>
        <v>Not Started</v>
      </c>
      <c r="E42" s="17">
        <f>'Data Structures &amp; Algorithms'!O16</f>
        <v>0</v>
      </c>
    </row>
    <row r="43" spans="1:5" x14ac:dyDescent="0.3">
      <c r="A43" s="16" t="s">
        <v>45</v>
      </c>
      <c r="B43" s="16" t="str">
        <f>'Data Structures &amp; Algorithms'!B17</f>
        <v>Suffix Array</v>
      </c>
      <c r="C43" s="16" t="str">
        <f>'Data Structures &amp; Algorithms'!C17</f>
        <v>Suffix sorting &amp; LCP array</v>
      </c>
      <c r="D43" s="16" t="str">
        <f>'Data Structures &amp; Algorithms'!A17</f>
        <v>Not Started</v>
      </c>
      <c r="E43" s="17">
        <f>'Data Structures &amp; Algorithms'!O17</f>
        <v>0</v>
      </c>
    </row>
    <row r="44" spans="1:5" x14ac:dyDescent="0.3">
      <c r="A44" s="16" t="s">
        <v>45</v>
      </c>
      <c r="B44" s="16" t="str">
        <f>'Data Structures &amp; Algorithms'!B18</f>
        <v>Suffix Automaton</v>
      </c>
      <c r="C44" s="16" t="str">
        <f>'Data Structures &amp; Algorithms'!C18</f>
        <v>Minimal DFA for all substrings</v>
      </c>
      <c r="D44" s="16" t="str">
        <f>'Data Structures &amp; Algorithms'!A18</f>
        <v>Not Started</v>
      </c>
      <c r="E44" s="17">
        <f>'Data Structures &amp; Algorithms'!O18</f>
        <v>0</v>
      </c>
    </row>
    <row r="45" spans="1:5" x14ac:dyDescent="0.3">
      <c r="A45" s="16" t="s">
        <v>45</v>
      </c>
      <c r="B45" s="16" t="str">
        <f>'Data Structures &amp; Algorithms'!B19</f>
        <v>Union Find</v>
      </c>
      <c r="C45" s="16" t="str">
        <f>'Data Structures &amp; Algorithms'!C19</f>
        <v>Path compression &amp; union by rank</v>
      </c>
      <c r="D45" s="16" t="str">
        <f>'Data Structures &amp; Algorithms'!A19</f>
        <v>Not Started</v>
      </c>
      <c r="E45" s="17">
        <f>'Data Structures &amp; Algorithms'!O19</f>
        <v>0</v>
      </c>
    </row>
    <row r="46" spans="1:5" x14ac:dyDescent="0.3">
      <c r="A46" s="16" t="s">
        <v>45</v>
      </c>
      <c r="B46" s="16" t="str">
        <f>'Data Structures &amp; Algorithms'!B21</f>
        <v>Graph Theory</v>
      </c>
      <c r="C46" s="16" t="str">
        <f>'Data Structures &amp; Algorithms'!C21</f>
        <v>BFS/DFS traversal, topological sort</v>
      </c>
      <c r="D46" s="16" t="str">
        <f>'Data Structures &amp; Algorithms'!A21</f>
        <v>Not Started</v>
      </c>
      <c r="E46" s="17">
        <f>'Data Structures &amp; Algorithms'!O21</f>
        <v>0</v>
      </c>
    </row>
    <row r="47" spans="1:5" x14ac:dyDescent="0.3">
      <c r="A47" s="16" t="s">
        <v>45</v>
      </c>
      <c r="B47" s="16" t="str">
        <f>'Data Structures &amp; Algorithms'!B22</f>
        <v>Shortest Path</v>
      </c>
      <c r="C47" s="16" t="str">
        <f>'Data Structures &amp; Algorithms'!C22</f>
        <v>Dijkstra, Bellman-Ford, Floyd-Warshall</v>
      </c>
      <c r="D47" s="16" t="str">
        <f>'Data Structures &amp; Algorithms'!A22</f>
        <v>Not Started</v>
      </c>
      <c r="E47" s="17">
        <f>'Data Structures &amp; Algorithms'!O22</f>
        <v>0</v>
      </c>
    </row>
    <row r="48" spans="1:5" x14ac:dyDescent="0.3">
      <c r="A48" s="16" t="s">
        <v>45</v>
      </c>
      <c r="B48" s="16" t="str">
        <f>'Data Structures &amp; Algorithms'!B23</f>
        <v>Topological Sort</v>
      </c>
      <c r="C48" s="16" t="str">
        <f>'Data Structures &amp; Algorithms'!C23</f>
        <v>Kahn's algorithm &amp; DFS-based ordering</v>
      </c>
      <c r="D48" s="16" t="str">
        <f>'Data Structures &amp; Algorithms'!A23</f>
        <v>Not Started</v>
      </c>
      <c r="E48" s="17">
        <f>'Data Structures &amp; Algorithms'!O23</f>
        <v>0</v>
      </c>
    </row>
    <row r="49" spans="1:5" x14ac:dyDescent="0.3">
      <c r="A49" s="16" t="s">
        <v>45</v>
      </c>
      <c r="B49" s="16" t="str">
        <f>'Data Structures &amp; Algorithms'!B24</f>
        <v>Maximum Flow</v>
      </c>
      <c r="C49" s="16" t="str">
        <f>'Data Structures &amp; Algorithms'!C24</f>
        <v>Ford-Fulkerson, Edmonds-Karp, BFS augmenting paths</v>
      </c>
      <c r="D49" s="16" t="str">
        <f>'Data Structures &amp; Algorithms'!A24</f>
        <v>Not Started</v>
      </c>
      <c r="E49" s="17">
        <f>'Data Structures &amp; Algorithms'!O24</f>
        <v>0</v>
      </c>
    </row>
    <row r="50" spans="1:5" x14ac:dyDescent="0.3">
      <c r="A50" s="16" t="s">
        <v>45</v>
      </c>
      <c r="B50" s="16" t="str">
        <f>'Data Structures &amp; Algorithms'!B25</f>
        <v>Minimum Cut</v>
      </c>
      <c r="C50" s="16" t="str">
        <f>'Data Structures &amp; Algorithms'!C25</f>
        <v>Max-flow min-cut theorem applications</v>
      </c>
      <c r="D50" s="16" t="str">
        <f>'Data Structures &amp; Algorithms'!A25</f>
        <v>Not Started</v>
      </c>
      <c r="E50" s="17">
        <f>'Data Structures &amp; Algorithms'!O25</f>
        <v>0</v>
      </c>
    </row>
    <row r="51" spans="1:5" x14ac:dyDescent="0.3">
      <c r="A51" s="16" t="s">
        <v>45</v>
      </c>
      <c r="B51" s="16" t="str">
        <f>'Data Structures &amp; Algorithms'!B27</f>
        <v>Dynamic Programming</v>
      </c>
      <c r="C51" s="16" t="str">
        <f>'Data Structures &amp; Algorithms'!C27</f>
        <v>1D/2D DP, state design, memoization vs tabulation</v>
      </c>
      <c r="D51" s="16" t="str">
        <f>'Data Structures &amp; Algorithms'!A27</f>
        <v>Not Started</v>
      </c>
      <c r="E51" s="17">
        <f>'Data Structures &amp; Algorithms'!O27</f>
        <v>0</v>
      </c>
    </row>
    <row r="52" spans="1:5" x14ac:dyDescent="0.3">
      <c r="A52" s="16" t="s">
        <v>45</v>
      </c>
      <c r="B52" s="16" t="str">
        <f>'Data Structures &amp; Algorithms'!B28</f>
        <v>Advanced DP</v>
      </c>
      <c r="C52" s="16" t="str">
        <f>'Data Structures &amp; Algorithms'!C28</f>
        <v>Digit DP, bitmask DP, DP on trees</v>
      </c>
      <c r="D52" s="16" t="str">
        <f>'Data Structures &amp; Algorithms'!A28</f>
        <v>Not Started</v>
      </c>
      <c r="E52" s="17">
        <f>'Data Structures &amp; Algorithms'!O28</f>
        <v>0</v>
      </c>
    </row>
    <row r="53" spans="1:5" x14ac:dyDescent="0.3">
      <c r="A53" s="16" t="s">
        <v>45</v>
      </c>
      <c r="B53" s="16" t="str">
        <f>'Data Structures &amp; Algorithms'!B29</f>
        <v>Greedy</v>
      </c>
      <c r="C53" s="16" t="str">
        <f>'Data Structures &amp; Algorithms'!C29</f>
        <v>Exchange argument &amp; interval scheduling</v>
      </c>
      <c r="D53" s="16" t="str">
        <f>'Data Structures &amp; Algorithms'!A29</f>
        <v>Not Started</v>
      </c>
      <c r="E53" s="17">
        <f>'Data Structures &amp; Algorithms'!O29</f>
        <v>0</v>
      </c>
    </row>
    <row r="54" spans="1:5" x14ac:dyDescent="0.3">
      <c r="A54" s="16" t="s">
        <v>45</v>
      </c>
      <c r="B54" s="16" t="str">
        <f>'Data Structures &amp; Algorithms'!B30</f>
        <v>Backtracking</v>
      </c>
      <c r="C54" s="16" t="str">
        <f>'Data Structures &amp; Algorithms'!C30</f>
        <v>Constraint satisfaction &amp; pruning</v>
      </c>
      <c r="D54" s="16" t="str">
        <f>'Data Structures &amp; Algorithms'!A30</f>
        <v>Not Started</v>
      </c>
      <c r="E54" s="17">
        <f>'Data Structures &amp; Algorithms'!O30</f>
        <v>0</v>
      </c>
    </row>
    <row r="55" spans="1:5" x14ac:dyDescent="0.3">
      <c r="A55" s="16" t="s">
        <v>45</v>
      </c>
      <c r="B55" s="16" t="str">
        <f>'Data Structures &amp; Algorithms'!B31</f>
        <v>Computational Geometry</v>
      </c>
      <c r="C55" s="16" t="str">
        <f>'Data Structures &amp; Algorithms'!C31</f>
        <v>Convex hull, line sweep</v>
      </c>
      <c r="D55" s="16" t="str">
        <f>'Data Structures &amp; Algorithms'!A31</f>
        <v>Not Started</v>
      </c>
      <c r="E55" s="17">
        <f>'Data Structures &amp; Algorithms'!O31</f>
        <v>0</v>
      </c>
    </row>
    <row r="56" spans="1:5" x14ac:dyDescent="0.3">
      <c r="A56" s="16" t="s">
        <v>45</v>
      </c>
      <c r="B56" s="16" t="str">
        <f>'Data Structures &amp; Algorithms'!B33</f>
        <v>String Algorithms</v>
      </c>
      <c r="C56" s="16" t="str">
        <f>'Data Structures &amp; Algorithms'!C33</f>
        <v>KMP, Z-function, Rabin-Karp</v>
      </c>
      <c r="D56" s="16" t="str">
        <f>'Data Structures &amp; Algorithms'!A33</f>
        <v>Not Started</v>
      </c>
      <c r="E56" s="17">
        <f>'Data Structures &amp; Algorithms'!O33</f>
        <v>0</v>
      </c>
    </row>
    <row r="57" spans="1:5" x14ac:dyDescent="0.3">
      <c r="A57" s="16" t="s">
        <v>45</v>
      </c>
      <c r="B57" s="16" t="str">
        <f>'Data Structures &amp; Algorithms'!B34</f>
        <v>Bloom Filter</v>
      </c>
      <c r="C57" s="16" t="str">
        <f>'Data Structures &amp; Algorithms'!C34</f>
        <v>Probabilistic set membership</v>
      </c>
      <c r="D57" s="16" t="str">
        <f>'Data Structures &amp; Algorithms'!A34</f>
        <v>Not Started</v>
      </c>
      <c r="E57" s="17">
        <f>'Data Structures &amp; Algorithms'!O34</f>
        <v>0</v>
      </c>
    </row>
    <row r="58" spans="1:5" x14ac:dyDescent="0.3">
      <c r="A58" s="16" t="s">
        <v>45</v>
      </c>
      <c r="B58" s="16" t="str">
        <f>'Data Structures &amp; Algorithms'!B35</f>
        <v>HyperLogLog</v>
      </c>
      <c r="C58" s="16" t="str">
        <f>'Data Structures &amp; Algorithms'!C35</f>
        <v>Cardinality estimation</v>
      </c>
      <c r="D58" s="16" t="str">
        <f>'Data Structures &amp; Algorithms'!A35</f>
        <v>Not Started</v>
      </c>
      <c r="E58" s="17">
        <f>'Data Structures &amp; Algorithms'!O35</f>
        <v>0</v>
      </c>
    </row>
    <row r="59" spans="1:5" x14ac:dyDescent="0.3">
      <c r="A59" s="16" t="s">
        <v>45</v>
      </c>
      <c r="B59" s="16" t="str">
        <f>'Data Structures &amp; Algorithms'!B36</f>
        <v>Count-Min Sketch</v>
      </c>
      <c r="C59" s="16" t="str">
        <f>'Data Structures &amp; Algorithms'!C36</f>
        <v>Approximate frequency counting</v>
      </c>
      <c r="D59" s="16" t="str">
        <f>'Data Structures &amp; Algorithms'!A36</f>
        <v>Not Started</v>
      </c>
      <c r="E59" s="17">
        <f>'Data Structures &amp; Algorithms'!O36</f>
        <v>0</v>
      </c>
    </row>
    <row r="60" spans="1:5" x14ac:dyDescent="0.3">
      <c r="A60" s="16" t="s">
        <v>45</v>
      </c>
      <c r="B60" s="16" t="str">
        <f>'Data Structures &amp; Algorithms'!B37</f>
        <v>LRU Cache</v>
      </c>
      <c r="C60" s="16" t="str">
        <f>'Data Structures &amp; Algorithms'!C37</f>
        <v>Doubly linked list + hashmap design</v>
      </c>
      <c r="D60" s="16" t="str">
        <f>'Data Structures &amp; Algorithms'!A37</f>
        <v>Not Started</v>
      </c>
      <c r="E60" s="17">
        <f>'Data Structures &amp; Algorithms'!O37</f>
        <v>0</v>
      </c>
    </row>
    <row r="61" spans="1:5" x14ac:dyDescent="0.3">
      <c r="A61" s="16" t="s">
        <v>45</v>
      </c>
      <c r="B61" s="16" t="str">
        <f>'Data Structures &amp; Algorithms'!B38</f>
        <v>LFU Cache</v>
      </c>
      <c r="C61" s="16" t="str">
        <f>'Data Structures &amp; Algorithms'!C38</f>
        <v>Frequency-bucketed eviction design</v>
      </c>
      <c r="D61" s="16" t="str">
        <f>'Data Structures &amp; Algorithms'!A38</f>
        <v>Not Started</v>
      </c>
      <c r="E61" s="17">
        <f>'Data Structures &amp; Algorithms'!O38</f>
        <v>0</v>
      </c>
    </row>
    <row r="62" spans="1:5" x14ac:dyDescent="0.3">
      <c r="A62" s="16" t="s">
        <v>46</v>
      </c>
      <c r="B62" s="16" t="str">
        <f>'Operating Systems'!B6</f>
        <v>Kernel</v>
      </c>
      <c r="C62" s="16" t="str">
        <f>'Operating Systems'!C6</f>
        <v>Monolithic vs microkernel, kernel/user space boundary</v>
      </c>
      <c r="D62" s="16" t="str">
        <f>'Operating Systems'!A6</f>
        <v>Not Started</v>
      </c>
      <c r="E62" s="17">
        <f>'Operating Systems'!O6</f>
        <v>0</v>
      </c>
    </row>
    <row r="63" spans="1:5" x14ac:dyDescent="0.3">
      <c r="A63" s="16" t="s">
        <v>46</v>
      </c>
      <c r="B63" s="16" t="str">
        <f>'Operating Systems'!B7</f>
        <v>System Calls</v>
      </c>
      <c r="C63" s="16" t="str">
        <f>'Operating Systems'!C7</f>
        <v>syscall mechanism, vDSO, syscall table</v>
      </c>
      <c r="D63" s="16" t="str">
        <f>'Operating Systems'!A7</f>
        <v>Not Started</v>
      </c>
      <c r="E63" s="17">
        <f>'Operating Systems'!O7</f>
        <v>0</v>
      </c>
    </row>
    <row r="64" spans="1:5" x14ac:dyDescent="0.3">
      <c r="A64" s="16" t="s">
        <v>46</v>
      </c>
      <c r="B64" s="16" t="str">
        <f>'Operating Systems'!B8</f>
        <v>Memory Management</v>
      </c>
      <c r="C64" s="16" t="str">
        <f>'Operating Systems'!C8</f>
        <v>Address spaces, heap/stack layout</v>
      </c>
      <c r="D64" s="16" t="str">
        <f>'Operating Systems'!A8</f>
        <v>Not Started</v>
      </c>
      <c r="E64" s="17">
        <f>'Operating Systems'!O8</f>
        <v>0</v>
      </c>
    </row>
    <row r="65" spans="1:5" x14ac:dyDescent="0.3">
      <c r="A65" s="16" t="s">
        <v>46</v>
      </c>
      <c r="B65" s="16" t="str">
        <f>'Operating Systems'!B9</f>
        <v>Virtual Memory</v>
      </c>
      <c r="C65" s="16" t="str">
        <f>'Operating Systems'!C9</f>
        <v>Address translation &amp; demand paging</v>
      </c>
      <c r="D65" s="16" t="str">
        <f>'Operating Systems'!A9</f>
        <v>Not Started</v>
      </c>
      <c r="E65" s="17">
        <f>'Operating Systems'!O9</f>
        <v>0</v>
      </c>
    </row>
    <row r="66" spans="1:5" x14ac:dyDescent="0.3">
      <c r="A66" s="16" t="s">
        <v>46</v>
      </c>
      <c r="B66" s="16" t="str">
        <f>'Operating Systems'!B10</f>
        <v>Paging</v>
      </c>
      <c r="C66" s="16" t="str">
        <f>'Operating Systems'!C10</f>
        <v>Multi-level page tables, page replacement (LRU, clock)</v>
      </c>
      <c r="D66" s="16" t="str">
        <f>'Operating Systems'!A10</f>
        <v>Not Started</v>
      </c>
      <c r="E66" s="17">
        <f>'Operating Systems'!O10</f>
        <v>0</v>
      </c>
    </row>
    <row r="67" spans="1:5" x14ac:dyDescent="0.3">
      <c r="A67" s="16" t="s">
        <v>46</v>
      </c>
      <c r="B67" s="16" t="str">
        <f>'Operating Systems'!B11</f>
        <v>Segmentation</v>
      </c>
      <c r="C67" s="16" t="str">
        <f>'Operating Systems'!C11</f>
        <v>Segments vs paging, external fragmentation</v>
      </c>
      <c r="D67" s="16" t="str">
        <f>'Operating Systems'!A11</f>
        <v>Not Started</v>
      </c>
      <c r="E67" s="17">
        <f>'Operating Systems'!O11</f>
        <v>0</v>
      </c>
    </row>
    <row r="68" spans="1:5" x14ac:dyDescent="0.3">
      <c r="A68" s="16" t="s">
        <v>46</v>
      </c>
      <c r="B68" s="16" t="str">
        <f>'Operating Systems'!B12</f>
        <v>TLB</v>
      </c>
      <c r="C68" s="16" t="str">
        <f>'Operating Systems'!C12</f>
        <v>Translation Lookaside Buffer &amp; TLB misses</v>
      </c>
      <c r="D68" s="16" t="str">
        <f>'Operating Systems'!A12</f>
        <v>Not Started</v>
      </c>
      <c r="E68" s="17">
        <f>'Operating Systems'!O12</f>
        <v>0</v>
      </c>
    </row>
    <row r="69" spans="1:5" x14ac:dyDescent="0.3">
      <c r="A69" s="16" t="s">
        <v>46</v>
      </c>
      <c r="B69" s="16" t="str">
        <f>'Operating Systems'!B13</f>
        <v>Huge Pages</v>
      </c>
      <c r="C69" s="16" t="str">
        <f>'Operating Systems'!C13</f>
        <v>Transparent huge pages &amp; reducing TLB pressure</v>
      </c>
      <c r="D69" s="16" t="str">
        <f>'Operating Systems'!A13</f>
        <v>Not Started</v>
      </c>
      <c r="E69" s="17">
        <f>'Operating Systems'!O13</f>
        <v>0</v>
      </c>
    </row>
    <row r="70" spans="1:5" x14ac:dyDescent="0.3">
      <c r="A70" s="16" t="s">
        <v>46</v>
      </c>
      <c r="B70" s="16" t="str">
        <f>'Operating Systems'!B14</f>
        <v>NUMA</v>
      </c>
      <c r="C70" s="16" t="str">
        <f>'Operating Systems'!C14</f>
        <v>Non-Uniform Memory Access &amp; node affinity</v>
      </c>
      <c r="D70" s="16" t="str">
        <f>'Operating Systems'!A14</f>
        <v>Not Started</v>
      </c>
      <c r="E70" s="17">
        <f>'Operating Systems'!O14</f>
        <v>0</v>
      </c>
    </row>
    <row r="71" spans="1:5" x14ac:dyDescent="0.3">
      <c r="A71" s="16" t="s">
        <v>46</v>
      </c>
      <c r="B71" s="16" t="str">
        <f>'Operating Systems'!B16</f>
        <v>Context Switching</v>
      </c>
      <c r="C71" s="16" t="str">
        <f>'Operating Systems'!C16</f>
        <v>Save/restore state, cost of a context switch</v>
      </c>
      <c r="D71" s="16" t="str">
        <f>'Operating Systems'!A16</f>
        <v>Not Started</v>
      </c>
      <c r="E71" s="17">
        <f>'Operating Systems'!O16</f>
        <v>0</v>
      </c>
    </row>
    <row r="72" spans="1:5" x14ac:dyDescent="0.3">
      <c r="A72" s="16" t="s">
        <v>46</v>
      </c>
      <c r="B72" s="16" t="str">
        <f>'Operating Systems'!B17</f>
        <v>CPU Scheduling</v>
      </c>
      <c r="C72" s="16" t="str">
        <f>'Operating Systems'!C17</f>
        <v>CFS, priority scheduling, real-time scheduling</v>
      </c>
      <c r="D72" s="16" t="str">
        <f>'Operating Systems'!A17</f>
        <v>Not Started</v>
      </c>
      <c r="E72" s="17">
        <f>'Operating Systems'!O17</f>
        <v>0</v>
      </c>
    </row>
    <row r="73" spans="1:5" x14ac:dyDescent="0.3">
      <c r="A73" s="16" t="s">
        <v>46</v>
      </c>
      <c r="B73" s="16" t="str">
        <f>'Operating Systems'!B18</f>
        <v>Synchronization</v>
      </c>
      <c r="C73" s="16" t="str">
        <f>'Operating Systems'!C18</f>
        <v>Race conditions, critical sections</v>
      </c>
      <c r="D73" s="16" t="str">
        <f>'Operating Systems'!A18</f>
        <v>Not Started</v>
      </c>
      <c r="E73" s="17">
        <f>'Operating Systems'!O18</f>
        <v>0</v>
      </c>
    </row>
    <row r="74" spans="1:5" x14ac:dyDescent="0.3">
      <c r="A74" s="16" t="s">
        <v>46</v>
      </c>
      <c r="B74" s="16" t="str">
        <f>'Operating Systems'!B19</f>
        <v>Mutex</v>
      </c>
      <c r="C74" s="16" t="str">
        <f>'Operating Systems'!C19</f>
        <v>Mutual exclusion implementation &amp; spinlocks</v>
      </c>
      <c r="D74" s="16" t="str">
        <f>'Operating Systems'!A19</f>
        <v>Not Started</v>
      </c>
      <c r="E74" s="17">
        <f>'Operating Systems'!O19</f>
        <v>0</v>
      </c>
    </row>
    <row r="75" spans="1:5" x14ac:dyDescent="0.3">
      <c r="A75" s="16" t="s">
        <v>46</v>
      </c>
      <c r="B75" s="16" t="str">
        <f>'Operating Systems'!B20</f>
        <v>Semaphore</v>
      </c>
      <c r="C75" s="16" t="str">
        <f>'Operating Systems'!C20</f>
        <v>Counting semaphores &amp; producer-consumer</v>
      </c>
      <c r="D75" s="16" t="str">
        <f>'Operating Systems'!A20</f>
        <v>Not Started</v>
      </c>
      <c r="E75" s="17">
        <f>'Operating Systems'!O20</f>
        <v>0</v>
      </c>
    </row>
    <row r="76" spans="1:5" x14ac:dyDescent="0.3">
      <c r="A76" s="16" t="s">
        <v>46</v>
      </c>
      <c r="B76" s="16" t="str">
        <f>'Operating Systems'!B21</f>
        <v>Lock-Free Programming</v>
      </c>
      <c r="C76" s="16" t="str">
        <f>'Operating Systems'!C21</f>
        <v>CAS, ABA problem, lock-free queues</v>
      </c>
      <c r="D76" s="16" t="str">
        <f>'Operating Systems'!A21</f>
        <v>Not Started</v>
      </c>
      <c r="E76" s="17">
        <f>'Operating Systems'!O21</f>
        <v>0</v>
      </c>
    </row>
    <row r="77" spans="1:5" x14ac:dyDescent="0.3">
      <c r="A77" s="16" t="s">
        <v>46</v>
      </c>
      <c r="B77" s="16" t="str">
        <f>'Operating Systems'!B23</f>
        <v>eBPF</v>
      </c>
      <c r="C77" s="16" t="str">
        <f>'Operating Systems'!C23</f>
        <v>Sandboxed kernel programs for tracing/networking</v>
      </c>
      <c r="D77" s="16" t="str">
        <f>'Operating Systems'!A23</f>
        <v>Not Started</v>
      </c>
      <c r="E77" s="17">
        <f>'Operating Systems'!O23</f>
        <v>0</v>
      </c>
    </row>
    <row r="78" spans="1:5" x14ac:dyDescent="0.3">
      <c r="A78" s="16" t="s">
        <v>46</v>
      </c>
      <c r="B78" s="16" t="str">
        <f>'Operating Systems'!B24</f>
        <v>io_uring</v>
      </c>
      <c r="C78" s="16" t="str">
        <f>'Operating Systems'!C24</f>
        <v>Async I/O without syscall-per-operation overhead</v>
      </c>
      <c r="D78" s="16" t="str">
        <f>'Operating Systems'!A24</f>
        <v>Not Started</v>
      </c>
      <c r="E78" s="17">
        <f>'Operating Systems'!O24</f>
        <v>0</v>
      </c>
    </row>
    <row r="79" spans="1:5" x14ac:dyDescent="0.3">
      <c r="A79" s="16" t="s">
        <v>46</v>
      </c>
      <c r="B79" s="16" t="str">
        <f>'Operating Systems'!B25</f>
        <v>epoll</v>
      </c>
      <c r="C79" s="16" t="str">
        <f>'Operating Systems'!C25</f>
        <v>Readiness-based I/O multiplexing</v>
      </c>
      <c r="D79" s="16" t="str">
        <f>'Operating Systems'!A25</f>
        <v>Not Started</v>
      </c>
      <c r="E79" s="17">
        <f>'Operating Systems'!O25</f>
        <v>0</v>
      </c>
    </row>
    <row r="80" spans="1:5" x14ac:dyDescent="0.3">
      <c r="A80" s="16" t="s">
        <v>46</v>
      </c>
      <c r="B80" s="16" t="str">
        <f>'Operating Systems'!B26</f>
        <v>Signals</v>
      </c>
      <c r="C80" s="16" t="str">
        <f>'Operating Systems'!C26</f>
        <v>Signal delivery, handlers, async-signal-safety</v>
      </c>
      <c r="D80" s="16" t="str">
        <f>'Operating Systems'!A26</f>
        <v>Not Started</v>
      </c>
      <c r="E80" s="17">
        <f>'Operating Systems'!O26</f>
        <v>0</v>
      </c>
    </row>
    <row r="81" spans="1:5" x14ac:dyDescent="0.3">
      <c r="A81" s="16" t="s">
        <v>46</v>
      </c>
      <c r="B81" s="16" t="str">
        <f>'Operating Systems'!B27</f>
        <v>Interrupts</v>
      </c>
      <c r="C81" s="16" t="str">
        <f>'Operating Systems'!C27</f>
        <v>Hardware interrupts vs software interrupts</v>
      </c>
      <c r="D81" s="16" t="str">
        <f>'Operating Systems'!A27</f>
        <v>Not Started</v>
      </c>
      <c r="E81" s="17">
        <f>'Operating Systems'!O27</f>
        <v>0</v>
      </c>
    </row>
    <row r="82" spans="1:5" x14ac:dyDescent="0.3">
      <c r="A82" s="16" t="s">
        <v>46</v>
      </c>
      <c r="B82" s="16" t="str">
        <f>'Operating Systems'!B28</f>
        <v>DMA</v>
      </c>
      <c r="C82" s="16" t="str">
        <f>'Operating Systems'!C28</f>
        <v>Direct Memory Access &amp; CPU offload</v>
      </c>
      <c r="D82" s="16" t="str">
        <f>'Operating Systems'!A28</f>
        <v>Not Started</v>
      </c>
      <c r="E82" s="17">
        <f>'Operating Systems'!O28</f>
        <v>0</v>
      </c>
    </row>
    <row r="83" spans="1:5" x14ac:dyDescent="0.3">
      <c r="A83" s="16" t="s">
        <v>46</v>
      </c>
      <c r="B83" s="16" t="str">
        <f>'Operating Systems'!B29</f>
        <v>Zero Copy Networking</v>
      </c>
      <c r="C83" s="16" t="str">
        <f>'Operating Systems'!C29</f>
        <v>sendfile, mmap, avoiding buffer copies</v>
      </c>
      <c r="D83" s="16" t="str">
        <f>'Operating Systems'!A29</f>
        <v>Not Started</v>
      </c>
      <c r="E83" s="17">
        <f>'Operating Systems'!O29</f>
        <v>0</v>
      </c>
    </row>
    <row r="84" spans="1:5" x14ac:dyDescent="0.3">
      <c r="A84" s="16" t="s">
        <v>46</v>
      </c>
      <c r="B84" s="16" t="str">
        <f>'Operating Systems'!B31</f>
        <v>Linux Performance Tools</v>
      </c>
      <c r="C84" s="16" t="str">
        <f>'Operating Systems'!C31</f>
        <v>perf, top, vmstat, iostat</v>
      </c>
      <c r="D84" s="16" t="str">
        <f>'Operating Systems'!A31</f>
        <v>Not Started</v>
      </c>
      <c r="E84" s="17">
        <f>'Operating Systems'!O31</f>
        <v>0</v>
      </c>
    </row>
    <row r="85" spans="1:5" x14ac:dyDescent="0.3">
      <c r="A85" s="16" t="s">
        <v>46</v>
      </c>
      <c r="B85" s="16" t="str">
        <f>'Operating Systems'!B32</f>
        <v>Linux Performance Tools</v>
      </c>
      <c r="C85" s="16" t="str">
        <f>'Operating Systems'!C32</f>
        <v>Flame graphs &amp; perf record/report</v>
      </c>
      <c r="D85" s="16" t="str">
        <f>'Operating Systems'!A32</f>
        <v>Not Started</v>
      </c>
      <c r="E85" s="17">
        <f>'Operating Systems'!O32</f>
        <v>0</v>
      </c>
    </row>
    <row r="86" spans="1:5" x14ac:dyDescent="0.3">
      <c r="A86" s="16" t="s">
        <v>46</v>
      </c>
      <c r="B86" s="16" t="str">
        <f>'Operating Systems'!B33</f>
        <v>Linux Performance Tools</v>
      </c>
      <c r="C86" s="16" t="str">
        <f>'Operating Systems'!C33</f>
        <v>strace, ltrace, and syscall-level debugging</v>
      </c>
      <c r="D86" s="16" t="str">
        <f>'Operating Systems'!A33</f>
        <v>Not Started</v>
      </c>
      <c r="E86" s="17">
        <f>'Operating Systems'!O33</f>
        <v>0</v>
      </c>
    </row>
    <row r="87" spans="1:5" x14ac:dyDescent="0.3">
      <c r="A87" s="16" t="s">
        <v>47</v>
      </c>
      <c r="B87" s="16" t="str">
        <f>'Computer Networking'!B6</f>
        <v>TCP</v>
      </c>
      <c r="C87" s="16" t="str">
        <f>'Computer Networking'!C6</f>
        <v>Three-way handshake, flow control, retransmission</v>
      </c>
      <c r="D87" s="16" t="str">
        <f>'Computer Networking'!A6</f>
        <v>Not Started</v>
      </c>
      <c r="E87" s="17">
        <f>'Computer Networking'!O6</f>
        <v>0</v>
      </c>
    </row>
    <row r="88" spans="1:5" x14ac:dyDescent="0.3">
      <c r="A88" s="16" t="s">
        <v>47</v>
      </c>
      <c r="B88" s="16" t="str">
        <f>'Computer Networking'!B7</f>
        <v>UDP</v>
      </c>
      <c r="C88" s="16" t="str">
        <f>'Computer Networking'!C7</f>
        <v>Connectionless delivery &amp; use cases</v>
      </c>
      <c r="D88" s="16" t="str">
        <f>'Computer Networking'!A7</f>
        <v>Not Started</v>
      </c>
      <c r="E88" s="17">
        <f>'Computer Networking'!O7</f>
        <v>0</v>
      </c>
    </row>
    <row r="89" spans="1:5" x14ac:dyDescent="0.3">
      <c r="A89" s="16" t="s">
        <v>47</v>
      </c>
      <c r="B89" s="16" t="str">
        <f>'Computer Networking'!B8</f>
        <v>QUIC</v>
      </c>
      <c r="C89" s="16" t="str">
        <f>'Computer Networking'!C8</f>
        <v>Stream multiplexing over UDP, 0-RTT</v>
      </c>
      <c r="D89" s="16" t="str">
        <f>'Computer Networking'!A8</f>
        <v>Not Started</v>
      </c>
      <c r="E89" s="17">
        <f>'Computer Networking'!O8</f>
        <v>0</v>
      </c>
    </row>
    <row r="90" spans="1:5" x14ac:dyDescent="0.3">
      <c r="A90" s="16" t="s">
        <v>47</v>
      </c>
      <c r="B90" s="16" t="str">
        <f>'Computer Networking'!B9</f>
        <v>Congestion Control</v>
      </c>
      <c r="C90" s="16" t="str">
        <f>'Computer Networking'!C9</f>
        <v>Slow start, AIMD, Reno vs Cubic</v>
      </c>
      <c r="D90" s="16" t="str">
        <f>'Computer Networking'!A9</f>
        <v>Not Started</v>
      </c>
      <c r="E90" s="17">
        <f>'Computer Networking'!O9</f>
        <v>0</v>
      </c>
    </row>
    <row r="91" spans="1:5" x14ac:dyDescent="0.3">
      <c r="A91" s="16" t="s">
        <v>47</v>
      </c>
      <c r="B91" s="16" t="str">
        <f>'Computer Networking'!B10</f>
        <v>BBR</v>
      </c>
      <c r="C91" s="16" t="str">
        <f>'Computer Networking'!C10</f>
        <v>Bottleneck Bandwidth and RTT congestion control</v>
      </c>
      <c r="D91" s="16" t="str">
        <f>'Computer Networking'!A10</f>
        <v>Not Started</v>
      </c>
      <c r="E91" s="17">
        <f>'Computer Networking'!O10</f>
        <v>0</v>
      </c>
    </row>
    <row r="92" spans="1:5" x14ac:dyDescent="0.3">
      <c r="A92" s="16" t="s">
        <v>47</v>
      </c>
      <c r="B92" s="16" t="str">
        <f>'Computer Networking'!B12</f>
        <v>HTTP/2</v>
      </c>
      <c r="C92" s="16" t="str">
        <f>'Computer Networking'!C12</f>
        <v>Multiplexing, header compression (HPACK)</v>
      </c>
      <c r="D92" s="16" t="str">
        <f>'Computer Networking'!A12</f>
        <v>Not Started</v>
      </c>
      <c r="E92" s="17">
        <f>'Computer Networking'!O12</f>
        <v>0</v>
      </c>
    </row>
    <row r="93" spans="1:5" x14ac:dyDescent="0.3">
      <c r="A93" s="16" t="s">
        <v>47</v>
      </c>
      <c r="B93" s="16" t="str">
        <f>'Computer Networking'!B13</f>
        <v>HTTP/3</v>
      </c>
      <c r="C93" s="16" t="str">
        <f>'Computer Networking'!C13</f>
        <v>QUIC-based HTTP, no TCP head-of-line blocking</v>
      </c>
      <c r="D93" s="16" t="str">
        <f>'Computer Networking'!A13</f>
        <v>Not Started</v>
      </c>
      <c r="E93" s="17">
        <f>'Computer Networking'!O13</f>
        <v>0</v>
      </c>
    </row>
    <row r="94" spans="1:5" x14ac:dyDescent="0.3">
      <c r="A94" s="16" t="s">
        <v>47</v>
      </c>
      <c r="B94" s="16" t="str">
        <f>'Computer Networking'!B14</f>
        <v>TLS</v>
      </c>
      <c r="C94" s="16" t="str">
        <f>'Computer Networking'!C14</f>
        <v>TLS 1.3 handshake, certificates, forward secrecy</v>
      </c>
      <c r="D94" s="16" t="str">
        <f>'Computer Networking'!A14</f>
        <v>Not Started</v>
      </c>
      <c r="E94" s="17">
        <f>'Computer Networking'!O14</f>
        <v>0</v>
      </c>
    </row>
    <row r="95" spans="1:5" x14ac:dyDescent="0.3">
      <c r="A95" s="16" t="s">
        <v>47</v>
      </c>
      <c r="B95" s="16" t="str">
        <f>'Computer Networking'!B15</f>
        <v>DNS</v>
      </c>
      <c r="C95" s="16" t="str">
        <f>'Computer Networking'!C15</f>
        <v>Resolution hierarchy, caching, DNS-over-HTTPS</v>
      </c>
      <c r="D95" s="16" t="str">
        <f>'Computer Networking'!A15</f>
        <v>Not Started</v>
      </c>
      <c r="E95" s="17">
        <f>'Computer Networking'!O15</f>
        <v>0</v>
      </c>
    </row>
    <row r="96" spans="1:5" x14ac:dyDescent="0.3">
      <c r="A96" s="16" t="s">
        <v>47</v>
      </c>
      <c r="B96" s="16" t="str">
        <f>'Computer Networking'!B17</f>
        <v>Routing</v>
      </c>
      <c r="C96" s="16" t="str">
        <f>'Computer Networking'!C17</f>
        <v>BGP basics, route propagation</v>
      </c>
      <c r="D96" s="16" t="str">
        <f>'Computer Networking'!A17</f>
        <v>Not Started</v>
      </c>
      <c r="E96" s="17">
        <f>'Computer Networking'!O17</f>
        <v>0</v>
      </c>
    </row>
    <row r="97" spans="1:5" x14ac:dyDescent="0.3">
      <c r="A97" s="16" t="s">
        <v>47</v>
      </c>
      <c r="B97" s="16" t="str">
        <f>'Computer Networking'!B18</f>
        <v>Load Balancers</v>
      </c>
      <c r="C97" s="16" t="str">
        <f>'Computer Networking'!C18</f>
        <v>L4 vs L7 load balancing, health checks</v>
      </c>
      <c r="D97" s="16" t="str">
        <f>'Computer Networking'!A18</f>
        <v>Not Started</v>
      </c>
      <c r="E97" s="17">
        <f>'Computer Networking'!O18</f>
        <v>0</v>
      </c>
    </row>
    <row r="98" spans="1:5" x14ac:dyDescent="0.3">
      <c r="A98" s="16" t="s">
        <v>47</v>
      </c>
      <c r="B98" s="16" t="str">
        <f>'Computer Networking'!B19</f>
        <v>NGINX</v>
      </c>
      <c r="C98" s="16" t="str">
        <f>'Computer Networking'!C19</f>
        <v>Reverse proxy config, upstream blocks</v>
      </c>
      <c r="D98" s="16" t="str">
        <f>'Computer Networking'!A19</f>
        <v>Not Started</v>
      </c>
      <c r="E98" s="17">
        <f>'Computer Networking'!O19</f>
        <v>0</v>
      </c>
    </row>
    <row r="99" spans="1:5" x14ac:dyDescent="0.3">
      <c r="A99" s="16" t="s">
        <v>47</v>
      </c>
      <c r="B99" s="16" t="str">
        <f>'Computer Networking'!B20</f>
        <v>Envoy</v>
      </c>
      <c r="C99" s="16" t="str">
        <f>'Computer Networking'!C20</f>
        <v>Sidecar proxy, service mesh data plane</v>
      </c>
      <c r="D99" s="16" t="str">
        <f>'Computer Networking'!A20</f>
        <v>Not Started</v>
      </c>
      <c r="E99" s="17">
        <f>'Computer Networking'!O20</f>
        <v>0</v>
      </c>
    </row>
    <row r="100" spans="1:5" x14ac:dyDescent="0.3">
      <c r="A100" s="16" t="s">
        <v>47</v>
      </c>
      <c r="B100" s="16" t="str">
        <f>'Computer Networking'!B21</f>
        <v>Reverse Proxy</v>
      </c>
      <c r="C100" s="16" t="str">
        <f>'Computer Networking'!C21</f>
        <v>Caching, TLS termination, request routing</v>
      </c>
      <c r="D100" s="16" t="str">
        <f>'Computer Networking'!A21</f>
        <v>Not Started</v>
      </c>
      <c r="E100" s="17">
        <f>'Computer Networking'!O21</f>
        <v>0</v>
      </c>
    </row>
    <row r="101" spans="1:5" x14ac:dyDescent="0.3">
      <c r="A101" s="16" t="s">
        <v>47</v>
      </c>
      <c r="B101" s="16" t="str">
        <f>'Computer Networking'!B22</f>
        <v>Anycast</v>
      </c>
      <c r="C101" s="16" t="str">
        <f>'Computer Networking'!C22</f>
        <v>Same IP, multiple locations, BGP-based routing</v>
      </c>
      <c r="D101" s="16" t="str">
        <f>'Computer Networking'!A22</f>
        <v>Not Started</v>
      </c>
      <c r="E101" s="17">
        <f>'Computer Networking'!O22</f>
        <v>0</v>
      </c>
    </row>
    <row r="102" spans="1:5" x14ac:dyDescent="0.3">
      <c r="A102" s="16" t="s">
        <v>47</v>
      </c>
      <c r="B102" s="16" t="str">
        <f>'Computer Networking'!B24</f>
        <v>gRPC</v>
      </c>
      <c r="C102" s="16" t="str">
        <f>'Computer Networking'!C24</f>
        <v>Protobuf, HTTP/2 transport, streaming RPC</v>
      </c>
      <c r="D102" s="16" t="str">
        <f>'Computer Networking'!A24</f>
        <v>Not Started</v>
      </c>
      <c r="E102" s="17">
        <f>'Computer Networking'!O24</f>
        <v>0</v>
      </c>
    </row>
    <row r="103" spans="1:5" x14ac:dyDescent="0.3">
      <c r="A103" s="16" t="s">
        <v>47</v>
      </c>
      <c r="B103" s="16" t="str">
        <f>'Computer Networking'!B25</f>
        <v>RPC</v>
      </c>
      <c r="C103" s="16" t="str">
        <f>'Computer Networking'!C25</f>
        <v>Remote procedure call semantics, idempotency</v>
      </c>
      <c r="D103" s="16" t="str">
        <f>'Computer Networking'!A25</f>
        <v>Not Started</v>
      </c>
      <c r="E103" s="17">
        <f>'Computer Networking'!O25</f>
        <v>0</v>
      </c>
    </row>
    <row r="104" spans="1:5" x14ac:dyDescent="0.3">
      <c r="A104" s="16" t="s">
        <v>47</v>
      </c>
      <c r="B104" s="16" t="str">
        <f>'Computer Networking'!B26</f>
        <v>CDNs</v>
      </c>
      <c r="C104" s="16" t="str">
        <f>'Computer Networking'!C26</f>
        <v>Edge caching, cache invalidation, origin shielding</v>
      </c>
      <c r="D104" s="16" t="str">
        <f>'Computer Networking'!A26</f>
        <v>Not Started</v>
      </c>
      <c r="E104" s="17">
        <f>'Computer Networking'!O26</f>
        <v>0</v>
      </c>
    </row>
    <row r="105" spans="1:5" x14ac:dyDescent="0.3">
      <c r="A105" s="16" t="s">
        <v>47</v>
      </c>
      <c r="B105" s="16" t="str">
        <f>'Computer Networking'!B27</f>
        <v>Packet Capture</v>
      </c>
      <c r="C105" s="16" t="str">
        <f>'Computer Networking'!C27</f>
        <v>tcpdump filters &amp; capture strategy</v>
      </c>
      <c r="D105" s="16" t="str">
        <f>'Computer Networking'!A27</f>
        <v>Not Started</v>
      </c>
      <c r="E105" s="17">
        <f>'Computer Networking'!O27</f>
        <v>0</v>
      </c>
    </row>
    <row r="106" spans="1:5" x14ac:dyDescent="0.3">
      <c r="A106" s="16" t="s">
        <v>47</v>
      </c>
      <c r="B106" s="16" t="str">
        <f>'Computer Networking'!B28</f>
        <v>Wireshark</v>
      </c>
      <c r="C106" s="16" t="str">
        <f>'Computer Networking'!C28</f>
        <v>Protocol dissection &amp; following TCP streams</v>
      </c>
      <c r="D106" s="16" t="str">
        <f>'Computer Networking'!A28</f>
        <v>Not Started</v>
      </c>
      <c r="E106" s="17">
        <f>'Computer Networking'!O28</f>
        <v>0</v>
      </c>
    </row>
    <row r="107" spans="1:5" x14ac:dyDescent="0.3">
      <c r="A107" s="16" t="s">
        <v>47</v>
      </c>
      <c r="B107" s="16" t="str">
        <f>'Computer Networking'!B29</f>
        <v>WireGuard</v>
      </c>
      <c r="C107" s="16" t="str">
        <f>'Computer Networking'!C29</f>
        <v>Modern VPN protocol design</v>
      </c>
      <c r="D107" s="16" t="str">
        <f>'Computer Networking'!A29</f>
        <v>Not Started</v>
      </c>
      <c r="E107" s="17">
        <f>'Computer Networking'!O29</f>
        <v>0</v>
      </c>
    </row>
    <row r="108" spans="1:5" x14ac:dyDescent="0.3">
      <c r="A108" s="16" t="s">
        <v>48</v>
      </c>
      <c r="B108" s="16" t="str">
        <f>Databases!B6</f>
        <v>PostgreSQL Internals</v>
      </c>
      <c r="C108" s="16" t="str">
        <f>Databases!C6</f>
        <v>Process model &amp; shared buffers</v>
      </c>
      <c r="D108" s="16" t="str">
        <f>Databases!A6</f>
        <v>Not Started</v>
      </c>
      <c r="E108" s="17">
        <f>Databases!O6</f>
        <v>0</v>
      </c>
    </row>
    <row r="109" spans="1:5" x14ac:dyDescent="0.3">
      <c r="A109" s="16" t="s">
        <v>48</v>
      </c>
      <c r="B109" s="16" t="str">
        <f>Databases!B7</f>
        <v>MVCC</v>
      </c>
      <c r="C109" s="16" t="str">
        <f>Databases!C7</f>
        <v>Multi-Version Concurrency Control &amp; tuple versions</v>
      </c>
      <c r="D109" s="16" t="str">
        <f>Databases!A7</f>
        <v>Not Started</v>
      </c>
      <c r="E109" s="17">
        <f>Databases!O7</f>
        <v>0</v>
      </c>
    </row>
    <row r="110" spans="1:5" x14ac:dyDescent="0.3">
      <c r="A110" s="16" t="s">
        <v>48</v>
      </c>
      <c r="B110" s="16" t="str">
        <f>Databases!B8</f>
        <v>WAL</v>
      </c>
      <c r="C110" s="16" t="str">
        <f>Databases!C8</f>
        <v>Write-Ahead Log &amp; crash recovery</v>
      </c>
      <c r="D110" s="16" t="str">
        <f>Databases!A8</f>
        <v>Not Started</v>
      </c>
      <c r="E110" s="17">
        <f>Databases!O8</f>
        <v>0</v>
      </c>
    </row>
    <row r="111" spans="1:5" x14ac:dyDescent="0.3">
      <c r="A111" s="16" t="s">
        <v>48</v>
      </c>
      <c r="B111" s="16" t="str">
        <f>Databases!B9</f>
        <v>Indexes</v>
      </c>
      <c r="C111" s="16" t="str">
        <f>Databases!C9</f>
        <v>B-Tree, Hash, GiST, GIN index types</v>
      </c>
      <c r="D111" s="16" t="str">
        <f>Databases!A9</f>
        <v>Not Started</v>
      </c>
      <c r="E111" s="17">
        <f>Databases!O9</f>
        <v>0</v>
      </c>
    </row>
    <row r="112" spans="1:5" x14ac:dyDescent="0.3">
      <c r="A112" s="16" t="s">
        <v>48</v>
      </c>
      <c r="B112" s="16" t="str">
        <f>Databases!B10</f>
        <v>B Trees</v>
      </c>
      <c r="C112" s="16" t="str">
        <f>Databases!C10</f>
        <v>Balanced tree structure &amp; disk-page fit</v>
      </c>
      <c r="D112" s="16" t="str">
        <f>Databases!A10</f>
        <v>Not Started</v>
      </c>
      <c r="E112" s="17">
        <f>Databases!O10</f>
        <v>0</v>
      </c>
    </row>
    <row r="113" spans="1:5" x14ac:dyDescent="0.3">
      <c r="A113" s="16" t="s">
        <v>48</v>
      </c>
      <c r="B113" s="16" t="str">
        <f>Databases!B11</f>
        <v>B+ Trees</v>
      </c>
      <c r="C113" s="16" t="str">
        <f>Databases!C11</f>
        <v>Leaf-linked B+Trees for range scans</v>
      </c>
      <c r="D113" s="16" t="str">
        <f>Databases!A11</f>
        <v>Not Started</v>
      </c>
      <c r="E113" s="17">
        <f>Databases!O11</f>
        <v>0</v>
      </c>
    </row>
    <row r="114" spans="1:5" x14ac:dyDescent="0.3">
      <c r="A114" s="16" t="s">
        <v>48</v>
      </c>
      <c r="B114" s="16" t="str">
        <f>Databases!B12</f>
        <v>LSM Trees</v>
      </c>
      <c r="C114" s="16" t="str">
        <f>Databases!C12</f>
        <v>Log-Structured Merge trees &amp; compaction</v>
      </c>
      <c r="D114" s="16" t="str">
        <f>Databases!A12</f>
        <v>Not Started</v>
      </c>
      <c r="E114" s="17">
        <f>Databases!O12</f>
        <v>0</v>
      </c>
    </row>
    <row r="115" spans="1:5" x14ac:dyDescent="0.3">
      <c r="A115" s="16" t="s">
        <v>48</v>
      </c>
      <c r="B115" s="16" t="str">
        <f>Databases!B14</f>
        <v>ClickHouse</v>
      </c>
      <c r="C115" s="16" t="str">
        <f>Databases!C14</f>
        <v>Columnar storage &amp; vectorized query execution</v>
      </c>
      <c r="D115" s="16" t="str">
        <f>Databases!A14</f>
        <v>Not Started</v>
      </c>
      <c r="E115" s="17">
        <f>Databases!O14</f>
        <v>0</v>
      </c>
    </row>
    <row r="116" spans="1:5" x14ac:dyDescent="0.3">
      <c r="A116" s="16" t="s">
        <v>48</v>
      </c>
      <c r="B116" s="16" t="str">
        <f>Databases!B15</f>
        <v>DuckDB</v>
      </c>
      <c r="C116" s="16" t="str">
        <f>Databases!C15</f>
        <v>In-process OLAP engine, columnar &amp; vectorized</v>
      </c>
      <c r="D116" s="16" t="str">
        <f>Databases!A15</f>
        <v>Not Started</v>
      </c>
      <c r="E116" s="17">
        <f>Databases!O15</f>
        <v>0</v>
      </c>
    </row>
    <row r="117" spans="1:5" x14ac:dyDescent="0.3">
      <c r="A117" s="16" t="s">
        <v>48</v>
      </c>
      <c r="B117" s="16" t="str">
        <f>Databases!B16</f>
        <v>Vector Databases</v>
      </c>
      <c r="C117" s="16" t="str">
        <f>Databases!C16</f>
        <v>ANN indexes: HNSW, IVF, product quantization</v>
      </c>
      <c r="D117" s="16" t="str">
        <f>Databases!A16</f>
        <v>Not Started</v>
      </c>
      <c r="E117" s="17">
        <f>Databases!O16</f>
        <v>0</v>
      </c>
    </row>
    <row r="118" spans="1:5" x14ac:dyDescent="0.3">
      <c r="A118" s="16" t="s">
        <v>48</v>
      </c>
      <c r="B118" s="16" t="str">
        <f>Databases!B17</f>
        <v>Query Optimizer</v>
      </c>
      <c r="C118" s="16" t="str">
        <f>Databases!C17</f>
        <v>Cost-based optimization &amp; query plans</v>
      </c>
      <c r="D118" s="16" t="str">
        <f>Databases!A17</f>
        <v>Not Started</v>
      </c>
      <c r="E118" s="17">
        <f>Databases!O17</f>
        <v>0</v>
      </c>
    </row>
    <row r="119" spans="1:5" x14ac:dyDescent="0.3">
      <c r="A119" s="16" t="s">
        <v>48</v>
      </c>
      <c r="B119" s="16" t="str">
        <f>Databases!B19</f>
        <v>Transactions</v>
      </c>
      <c r="C119" s="16" t="str">
        <f>Databases!C19</f>
        <v>ACID guarantees &amp; the transaction log</v>
      </c>
      <c r="D119" s="16" t="str">
        <f>Databases!A19</f>
        <v>Not Started</v>
      </c>
      <c r="E119" s="17">
        <f>Databases!O19</f>
        <v>0</v>
      </c>
    </row>
    <row r="120" spans="1:5" x14ac:dyDescent="0.3">
      <c r="A120" s="16" t="s">
        <v>48</v>
      </c>
      <c r="B120" s="16" t="str">
        <f>Databases!B20</f>
        <v>Isolation Levels</v>
      </c>
      <c r="C120" s="16" t="str">
        <f>Databases!C20</f>
        <v>Read Committed, Repeatable Read, Serializable</v>
      </c>
      <c r="D120" s="16" t="str">
        <f>Databases!A20</f>
        <v>Not Started</v>
      </c>
      <c r="E120" s="17">
        <f>Databases!O20</f>
        <v>0</v>
      </c>
    </row>
    <row r="121" spans="1:5" x14ac:dyDescent="0.3">
      <c r="A121" s="16" t="s">
        <v>48</v>
      </c>
      <c r="B121" s="16" t="str">
        <f>Databases!B21</f>
        <v>Replication</v>
      </c>
      <c r="C121" s="16" t="str">
        <f>Databases!C21</f>
        <v>Streaming replication, synchronous vs async</v>
      </c>
      <c r="D121" s="16" t="str">
        <f>Databases!A21</f>
        <v>Not Started</v>
      </c>
      <c r="E121" s="17">
        <f>Databases!O21</f>
        <v>0</v>
      </c>
    </row>
    <row r="122" spans="1:5" x14ac:dyDescent="0.3">
      <c r="A122" s="16" t="s">
        <v>48</v>
      </c>
      <c r="B122" s="16" t="str">
        <f>Databases!B22</f>
        <v>Sharding</v>
      </c>
      <c r="C122" s="16" t="str">
        <f>Databases!C22</f>
        <v>Horizontal partitioning strategies &amp; shard keys</v>
      </c>
      <c r="D122" s="16" t="str">
        <f>Databases!A22</f>
        <v>Not Started</v>
      </c>
      <c r="E122" s="17">
        <f>Databases!O22</f>
        <v>0</v>
      </c>
    </row>
    <row r="123" spans="1:5" x14ac:dyDescent="0.3">
      <c r="A123" s="16" t="s">
        <v>48</v>
      </c>
      <c r="B123" s="16" t="str">
        <f>Databases!B23</f>
        <v>Partitioning</v>
      </c>
      <c r="C123" s="16" t="str">
        <f>Databases!C23</f>
        <v>Range/list/hash table partitioning within one DB</v>
      </c>
      <c r="D123" s="16" t="str">
        <f>Databases!A23</f>
        <v>Not Started</v>
      </c>
      <c r="E123" s="17">
        <f>Databases!O23</f>
        <v>0</v>
      </c>
    </row>
    <row r="124" spans="1:5" x14ac:dyDescent="0.3">
      <c r="A124" s="16" t="s">
        <v>48</v>
      </c>
      <c r="B124" s="16" t="str">
        <f>Databases!B24</f>
        <v>Caching</v>
      </c>
      <c r="C124" s="16" t="str">
        <f>Databases!C24</f>
        <v>Cache-aside, write-through, TTL &amp; invalidation</v>
      </c>
      <c r="D124" s="16" t="str">
        <f>Databases!A24</f>
        <v>Not Started</v>
      </c>
      <c r="E124" s="17">
        <f>Databases!O24</f>
        <v>0</v>
      </c>
    </row>
    <row r="125" spans="1:5" x14ac:dyDescent="0.3">
      <c r="A125" s="16" t="s">
        <v>49</v>
      </c>
      <c r="B125" s="16" t="str">
        <f>Mathematics!B6</f>
        <v>Linear Algebra</v>
      </c>
      <c r="C125" s="16" t="str">
        <f>Mathematics!C6</f>
        <v>Vector spaces, basis, rank</v>
      </c>
      <c r="D125" s="16" t="str">
        <f>Mathematics!A6</f>
        <v>Not Started</v>
      </c>
      <c r="E125" s="17">
        <f>Mathematics!O6</f>
        <v>0</v>
      </c>
    </row>
    <row r="126" spans="1:5" x14ac:dyDescent="0.3">
      <c r="A126" s="16" t="s">
        <v>49</v>
      </c>
      <c r="B126" s="16" t="str">
        <f>Mathematics!B7</f>
        <v>Matrix Calculus</v>
      </c>
      <c r="C126" s="16" t="str">
        <f>Mathematics!C7</f>
        <v>Gradients of matrix/vector expressions</v>
      </c>
      <c r="D126" s="16" t="str">
        <f>Mathematics!A7</f>
        <v>Not Started</v>
      </c>
      <c r="E126" s="17">
        <f>Mathematics!O7</f>
        <v>0</v>
      </c>
    </row>
    <row r="127" spans="1:5" x14ac:dyDescent="0.3">
      <c r="A127" s="16" t="s">
        <v>49</v>
      </c>
      <c r="B127" s="16" t="str">
        <f>Mathematics!B8</f>
        <v>Eigenvalues</v>
      </c>
      <c r="C127" s="16" t="str">
        <f>Mathematics!C8</f>
        <v>Eigendecomposition &amp; spectral theorem</v>
      </c>
      <c r="D127" s="16" t="str">
        <f>Mathematics!A8</f>
        <v>Not Started</v>
      </c>
      <c r="E127" s="17">
        <f>Mathematics!O8</f>
        <v>0</v>
      </c>
    </row>
    <row r="128" spans="1:5" x14ac:dyDescent="0.3">
      <c r="A128" s="16" t="s">
        <v>49</v>
      </c>
      <c r="B128" s="16" t="str">
        <f>Mathematics!B9</f>
        <v>Eigenvectors</v>
      </c>
      <c r="C128" s="16" t="str">
        <f>Mathematics!C9</f>
        <v>Diagonalization &amp; powers of a matrix</v>
      </c>
      <c r="D128" s="16" t="str">
        <f>Mathematics!A9</f>
        <v>Not Started</v>
      </c>
      <c r="E128" s="17">
        <f>Mathematics!O9</f>
        <v>0</v>
      </c>
    </row>
    <row r="129" spans="1:5" x14ac:dyDescent="0.3">
      <c r="A129" s="16" t="s">
        <v>49</v>
      </c>
      <c r="B129" s="16" t="str">
        <f>Mathematics!B10</f>
        <v>SVD</v>
      </c>
      <c r="C129" s="16" t="str">
        <f>Mathematics!C10</f>
        <v>Singular Value Decomposition &amp; low-rank approximation</v>
      </c>
      <c r="D129" s="16" t="str">
        <f>Mathematics!A10</f>
        <v>Not Started</v>
      </c>
      <c r="E129" s="17">
        <f>Mathematics!O10</f>
        <v>0</v>
      </c>
    </row>
    <row r="130" spans="1:5" x14ac:dyDescent="0.3">
      <c r="A130" s="16" t="s">
        <v>49</v>
      </c>
      <c r="B130" s="16" t="str">
        <f>Mathematics!B11</f>
        <v>PCA</v>
      </c>
      <c r="C130" s="16" t="str">
        <f>Mathematics!C11</f>
        <v>Principal Component Analysis via covariance eigendecomposition</v>
      </c>
      <c r="D130" s="16" t="str">
        <f>Mathematics!A11</f>
        <v>Not Started</v>
      </c>
      <c r="E130" s="17">
        <f>Mathematics!O11</f>
        <v>0</v>
      </c>
    </row>
    <row r="131" spans="1:5" x14ac:dyDescent="0.3">
      <c r="A131" s="16" t="s">
        <v>49</v>
      </c>
      <c r="B131" s="16" t="str">
        <f>Mathematics!B13</f>
        <v>Probability</v>
      </c>
      <c r="C131" s="16" t="str">
        <f>Mathematics!C13</f>
        <v>Random variables, joint/marginal/conditional distributions</v>
      </c>
      <c r="D131" s="16" t="str">
        <f>Mathematics!A13</f>
        <v>Not Started</v>
      </c>
      <c r="E131" s="17">
        <f>Mathematics!O13</f>
        <v>0</v>
      </c>
    </row>
    <row r="132" spans="1:5" x14ac:dyDescent="0.3">
      <c r="A132" s="16" t="s">
        <v>49</v>
      </c>
      <c r="B132" s="16" t="str">
        <f>Mathematics!B14</f>
        <v>Bayes</v>
      </c>
      <c r="C132" s="16" t="str">
        <f>Mathematics!C14</f>
        <v>Bayes' theorem, priors, posteriors, conjugate priors</v>
      </c>
      <c r="D132" s="16" t="str">
        <f>Mathematics!A14</f>
        <v>Not Started</v>
      </c>
      <c r="E132" s="17">
        <f>Mathematics!O14</f>
        <v>0</v>
      </c>
    </row>
    <row r="133" spans="1:5" x14ac:dyDescent="0.3">
      <c r="A133" s="16" t="s">
        <v>49</v>
      </c>
      <c r="B133" s="16" t="str">
        <f>Mathematics!B15</f>
        <v>Information Theory</v>
      </c>
      <c r="C133" s="16" t="str">
        <f>Mathematics!C15</f>
        <v>Entropy, cross-entropy, KL divergence</v>
      </c>
      <c r="D133" s="16" t="str">
        <f>Mathematics!A15</f>
        <v>Not Started</v>
      </c>
      <c r="E133" s="17">
        <f>Mathematics!O15</f>
        <v>0</v>
      </c>
    </row>
    <row r="134" spans="1:5" x14ac:dyDescent="0.3">
      <c r="A134" s="16" t="s">
        <v>49</v>
      </c>
      <c r="B134" s="16" t="str">
        <f>Mathematics!B16</f>
        <v>Entropy</v>
      </c>
      <c r="C134" s="16" t="str">
        <f>Mathematics!C16</f>
        <v>Shannon entropy &amp; its properties</v>
      </c>
      <c r="D134" s="16" t="str">
        <f>Mathematics!A16</f>
        <v>Not Started</v>
      </c>
      <c r="E134" s="17">
        <f>Mathematics!O16</f>
        <v>0</v>
      </c>
    </row>
    <row r="135" spans="1:5" x14ac:dyDescent="0.3">
      <c r="A135" s="16" t="s">
        <v>49</v>
      </c>
      <c r="B135" s="16" t="str">
        <f>Mathematics!B17</f>
        <v>Cross Entropy</v>
      </c>
      <c r="C135" s="16" t="str">
        <f>Mathematics!C17</f>
        <v>Cross-entropy as a loss function</v>
      </c>
      <c r="D135" s="16" t="str">
        <f>Mathematics!A17</f>
        <v>Not Started</v>
      </c>
      <c r="E135" s="17">
        <f>Mathematics!O17</f>
        <v>0</v>
      </c>
    </row>
    <row r="136" spans="1:5" x14ac:dyDescent="0.3">
      <c r="A136" s="16" t="s">
        <v>49</v>
      </c>
      <c r="B136" s="16" t="str">
        <f>Mathematics!B18</f>
        <v>KL Divergence</v>
      </c>
      <c r="C136" s="16" t="str">
        <f>Mathematics!C18</f>
        <v>Forward vs reverse KL, mode-seeking vs mode-covering</v>
      </c>
      <c r="D136" s="16" t="str">
        <f>Mathematics!A18</f>
        <v>Not Started</v>
      </c>
      <c r="E136" s="17">
        <f>Mathematics!O18</f>
        <v>0</v>
      </c>
    </row>
    <row r="137" spans="1:5" x14ac:dyDescent="0.3">
      <c r="A137" s="16" t="s">
        <v>49</v>
      </c>
      <c r="B137" s="16" t="str">
        <f>Mathematics!B19</f>
        <v>Jensen Shannon</v>
      </c>
      <c r="C137" s="16" t="str">
        <f>Mathematics!C19</f>
        <v>Symmetric, bounded divergence measure</v>
      </c>
      <c r="D137" s="16" t="str">
        <f>Mathematics!A19</f>
        <v>Not Started</v>
      </c>
      <c r="E137" s="17">
        <f>Mathematics!O19</f>
        <v>0</v>
      </c>
    </row>
    <row r="138" spans="1:5" x14ac:dyDescent="0.3">
      <c r="A138" s="16" t="s">
        <v>49</v>
      </c>
      <c r="B138" s="16" t="str">
        <f>Mathematics!B20</f>
        <v>Statistics</v>
      </c>
      <c r="C138" s="16" t="str">
        <f>Mathematics!C20</f>
        <v>Hypothesis testing, confidence intervals, p-values</v>
      </c>
      <c r="D138" s="16" t="str">
        <f>Mathematics!A20</f>
        <v>Not Started</v>
      </c>
      <c r="E138" s="17">
        <f>Mathematics!O20</f>
        <v>0</v>
      </c>
    </row>
    <row r="139" spans="1:5" x14ac:dyDescent="0.3">
      <c r="A139" s="16" t="s">
        <v>49</v>
      </c>
      <c r="B139" s="16" t="str">
        <f>Mathematics!B22</f>
        <v>Optimization</v>
      </c>
      <c r="C139" s="16" t="str">
        <f>Mathematics!C22</f>
        <v>Convexity, local vs global minima</v>
      </c>
      <c r="D139" s="16" t="str">
        <f>Mathematics!A22</f>
        <v>Not Started</v>
      </c>
      <c r="E139" s="17">
        <f>Mathematics!O22</f>
        <v>0</v>
      </c>
    </row>
    <row r="140" spans="1:5" x14ac:dyDescent="0.3">
      <c r="A140" s="16" t="s">
        <v>49</v>
      </c>
      <c r="B140" s="16" t="str">
        <f>Mathematics!B23</f>
        <v>Gradient Descent</v>
      </c>
      <c r="C140" s="16" t="str">
        <f>Mathematics!C23</f>
        <v>Batch, stochastic, mini-batch variants</v>
      </c>
      <c r="D140" s="16" t="str">
        <f>Mathematics!A23</f>
        <v>Not Started</v>
      </c>
      <c r="E140" s="17">
        <f>Mathematics!O23</f>
        <v>0</v>
      </c>
    </row>
    <row r="141" spans="1:5" x14ac:dyDescent="0.3">
      <c r="A141" s="16" t="s">
        <v>49</v>
      </c>
      <c r="B141" s="16" t="str">
        <f>Mathematics!B24</f>
        <v>Adam</v>
      </c>
      <c r="C141" s="16" t="str">
        <f>Mathematics!C24</f>
        <v>Adaptive moment estimation, bias correction</v>
      </c>
      <c r="D141" s="16" t="str">
        <f>Mathematics!A24</f>
        <v>Not Started</v>
      </c>
      <c r="E141" s="17">
        <f>Mathematics!O24</f>
        <v>0</v>
      </c>
    </row>
    <row r="142" spans="1:5" x14ac:dyDescent="0.3">
      <c r="A142" s="16" t="s">
        <v>49</v>
      </c>
      <c r="B142" s="16" t="str">
        <f>Mathematics!B25</f>
        <v>Convex Optimization</v>
      </c>
      <c r="C142" s="16" t="str">
        <f>Mathematics!C25</f>
        <v>Duality, KKT conditions</v>
      </c>
      <c r="D142" s="16" t="str">
        <f>Mathematics!A25</f>
        <v>Not Started</v>
      </c>
      <c r="E142" s="17">
        <f>Mathematics!O25</f>
        <v>0</v>
      </c>
    </row>
    <row r="143" spans="1:5" x14ac:dyDescent="0.3">
      <c r="A143" s="16" t="s">
        <v>49</v>
      </c>
      <c r="B143" s="16" t="str">
        <f>Mathematics!B26</f>
        <v>Automatic Differentiation</v>
      </c>
      <c r="C143" s="16" t="str">
        <f>Mathematics!C26</f>
        <v>Forward mode vs reverse mode autodiff</v>
      </c>
      <c r="D143" s="16" t="str">
        <f>Mathematics!A26</f>
        <v>Not Started</v>
      </c>
      <c r="E143" s="17">
        <f>Mathematics!O26</f>
        <v>0</v>
      </c>
    </row>
    <row r="144" spans="1:5" x14ac:dyDescent="0.3">
      <c r="A144" s="16" t="s">
        <v>49</v>
      </c>
      <c r="B144" s="16" t="str">
        <f>Mathematics!B27</f>
        <v>Jacobians</v>
      </c>
      <c r="C144" s="16" t="str">
        <f>Mathematics!C27</f>
        <v>Jacobian matrices for vector-valued functions</v>
      </c>
      <c r="D144" s="16" t="str">
        <f>Mathematics!A27</f>
        <v>Not Started</v>
      </c>
      <c r="E144" s="17">
        <f>Mathematics!O27</f>
        <v>0</v>
      </c>
    </row>
    <row r="145" spans="1:5" x14ac:dyDescent="0.3">
      <c r="A145" s="16" t="s">
        <v>49</v>
      </c>
      <c r="B145" s="16" t="str">
        <f>Mathematics!B28</f>
        <v>Hessians</v>
      </c>
      <c r="C145" s="16" t="str">
        <f>Mathematics!C28</f>
        <v>Second-order curvature &amp; Newton's method</v>
      </c>
      <c r="D145" s="16" t="str">
        <f>Mathematics!A28</f>
        <v>Not Started</v>
      </c>
      <c r="E145" s="17">
        <f>Mathematics!O28</f>
        <v>0</v>
      </c>
    </row>
    <row r="146" spans="1:5" x14ac:dyDescent="0.3">
      <c r="A146" s="16" t="s">
        <v>50</v>
      </c>
      <c r="B146" s="16" t="str">
        <f>'Machine Learning'!B6</f>
        <v>Bias Variance</v>
      </c>
      <c r="C146" s="16" t="str">
        <f>'Machine Learning'!C6</f>
        <v>Bias-variance decomposition of test error</v>
      </c>
      <c r="D146" s="16" t="str">
        <f>'Machine Learning'!A6</f>
        <v>Not Started</v>
      </c>
      <c r="E146" s="17">
        <f>'Machine Learning'!O6</f>
        <v>0</v>
      </c>
    </row>
    <row r="147" spans="1:5" x14ac:dyDescent="0.3">
      <c r="A147" s="16" t="s">
        <v>50</v>
      </c>
      <c r="B147" s="16" t="str">
        <f>'Machine Learning'!B7</f>
        <v>PAC Learning</v>
      </c>
      <c r="C147" s="16" t="str">
        <f>'Machine Learning'!C7</f>
        <v>Probably Approximately Correct learning framework</v>
      </c>
      <c r="D147" s="16" t="str">
        <f>'Machine Learning'!A7</f>
        <v>Not Started</v>
      </c>
      <c r="E147" s="17">
        <f>'Machine Learning'!O7</f>
        <v>0</v>
      </c>
    </row>
    <row r="148" spans="1:5" x14ac:dyDescent="0.3">
      <c r="A148" s="16" t="s">
        <v>50</v>
      </c>
      <c r="B148" s="16" t="str">
        <f>'Machine Learning'!B8</f>
        <v>VC Dimension</v>
      </c>
      <c r="C148" s="16" t="str">
        <f>'Machine Learning'!C8</f>
        <v>Vapnik-Chervonenkis dimension &amp; model capacity</v>
      </c>
      <c r="D148" s="16" t="str">
        <f>'Machine Learning'!A8</f>
        <v>Not Started</v>
      </c>
      <c r="E148" s="17">
        <f>'Machine Learning'!O8</f>
        <v>0</v>
      </c>
    </row>
    <row r="149" spans="1:5" x14ac:dyDescent="0.3">
      <c r="A149" s="16" t="s">
        <v>50</v>
      </c>
      <c r="B149" s="16" t="str">
        <f>'Machine Learning'!B9</f>
        <v>Maximum Likelihood</v>
      </c>
      <c r="C149" s="16" t="str">
        <f>'Machine Learning'!C9</f>
        <v>MLE as the standard parameter-estimation principle</v>
      </c>
      <c r="D149" s="16" t="str">
        <f>'Machine Learning'!A9</f>
        <v>Not Started</v>
      </c>
      <c r="E149" s="17">
        <f>'Machine Learning'!O9</f>
        <v>0</v>
      </c>
    </row>
    <row r="150" spans="1:5" x14ac:dyDescent="0.3">
      <c r="A150" s="16" t="s">
        <v>50</v>
      </c>
      <c r="B150" s="16" t="str">
        <f>'Machine Learning'!B10</f>
        <v>EM Algorithm</v>
      </c>
      <c r="C150" s="16" t="str">
        <f>'Machine Learning'!C10</f>
        <v>Expectation-Maximization for latent variable models</v>
      </c>
      <c r="D150" s="16" t="str">
        <f>'Machine Learning'!A10</f>
        <v>Not Started</v>
      </c>
      <c r="E150" s="17">
        <f>'Machine Learning'!O10</f>
        <v>0</v>
      </c>
    </row>
    <row r="151" spans="1:5" x14ac:dyDescent="0.3">
      <c r="A151" s="16" t="s">
        <v>50</v>
      </c>
      <c r="B151" s="16" t="str">
        <f>'Machine Learning'!B12</f>
        <v>Decision Trees</v>
      </c>
      <c r="C151" s="16" t="str">
        <f>'Machine Learning'!C12</f>
        <v>Splitting criteria: Gini, entropy, information gain</v>
      </c>
      <c r="D151" s="16" t="str">
        <f>'Machine Learning'!A12</f>
        <v>Not Started</v>
      </c>
      <c r="E151" s="17">
        <f>'Machine Learning'!O12</f>
        <v>0</v>
      </c>
    </row>
    <row r="152" spans="1:5" x14ac:dyDescent="0.3">
      <c r="A152" s="16" t="s">
        <v>50</v>
      </c>
      <c r="B152" s="16" t="str">
        <f>'Machine Learning'!B13</f>
        <v>Random Forest</v>
      </c>
      <c r="C152" s="16" t="str">
        <f>'Machine Learning'!C13</f>
        <v>Bagging &amp; feature subsampling for variance reduction</v>
      </c>
      <c r="D152" s="16" t="str">
        <f>'Machine Learning'!A13</f>
        <v>Not Started</v>
      </c>
      <c r="E152" s="17">
        <f>'Machine Learning'!O13</f>
        <v>0</v>
      </c>
    </row>
    <row r="153" spans="1:5" x14ac:dyDescent="0.3">
      <c r="A153" s="16" t="s">
        <v>50</v>
      </c>
      <c r="B153" s="16" t="str">
        <f>'Machine Learning'!B14</f>
        <v>XGBoost Internals</v>
      </c>
      <c r="C153" s="16" t="str">
        <f>'Machine Learning'!C14</f>
        <v>Gradient boosting, second-order Taylor approximation</v>
      </c>
      <c r="D153" s="16" t="str">
        <f>'Machine Learning'!A14</f>
        <v>Not Started</v>
      </c>
      <c r="E153" s="17">
        <f>'Machine Learning'!O14</f>
        <v>0</v>
      </c>
    </row>
    <row r="154" spans="1:5" x14ac:dyDescent="0.3">
      <c r="A154" s="16" t="s">
        <v>50</v>
      </c>
      <c r="B154" s="16" t="str">
        <f>'Machine Learning'!B15</f>
        <v>LightGBM</v>
      </c>
      <c r="C154" s="16" t="str">
        <f>'Machine Learning'!C15</f>
        <v>Leaf-wise growth &amp; histogram-based splitting</v>
      </c>
      <c r="D154" s="16" t="str">
        <f>'Machine Learning'!A15</f>
        <v>Not Started</v>
      </c>
      <c r="E154" s="17">
        <f>'Machine Learning'!O15</f>
        <v>0</v>
      </c>
    </row>
    <row r="155" spans="1:5" x14ac:dyDescent="0.3">
      <c r="A155" s="16" t="s">
        <v>50</v>
      </c>
      <c r="B155" s="16" t="str">
        <f>'Machine Learning'!B16</f>
        <v>CatBoost</v>
      </c>
      <c r="C155" s="16" t="str">
        <f>'Machine Learning'!C16</f>
        <v>Ordered boosting &amp; native categorical handling</v>
      </c>
      <c r="D155" s="16" t="str">
        <f>'Machine Learning'!A16</f>
        <v>Not Started</v>
      </c>
      <c r="E155" s="17">
        <f>'Machine Learning'!O16</f>
        <v>0</v>
      </c>
    </row>
    <row r="156" spans="1:5" x14ac:dyDescent="0.3">
      <c r="A156" s="16" t="s">
        <v>50</v>
      </c>
      <c r="B156" s="16" t="str">
        <f>'Machine Learning'!B18</f>
        <v>Calibration</v>
      </c>
      <c r="C156" s="16" t="str">
        <f>'Machine Learning'!C18</f>
        <v>Reliability diagrams, Platt scaling, temperature scaling</v>
      </c>
      <c r="D156" s="16" t="str">
        <f>'Machine Learning'!A18</f>
        <v>Not Started</v>
      </c>
      <c r="E156" s="17">
        <f>'Machine Learning'!O18</f>
        <v>0</v>
      </c>
    </row>
    <row r="157" spans="1:5" x14ac:dyDescent="0.3">
      <c r="A157" s="16" t="s">
        <v>50</v>
      </c>
      <c r="B157" s="16" t="str">
        <f>'Machine Learning'!B19</f>
        <v>Metrics</v>
      </c>
      <c r="C157" s="16" t="str">
        <f>'Machine Learning'!C19</f>
        <v>Precision/recall/F1, ROC-AUC, PR-AUC tradeoffs</v>
      </c>
      <c r="D157" s="16" t="str">
        <f>'Machine Learning'!A19</f>
        <v>Not Started</v>
      </c>
      <c r="E157" s="17">
        <f>'Machine Learning'!O19</f>
        <v>0</v>
      </c>
    </row>
    <row r="158" spans="1:5" x14ac:dyDescent="0.3">
      <c r="A158" s="16" t="s">
        <v>50</v>
      </c>
      <c r="B158" s="16" t="str">
        <f>'Machine Learning'!B20</f>
        <v>Feature Engineering</v>
      </c>
      <c r="C158" s="16" t="str">
        <f>'Machine Learning'!C20</f>
        <v>Encoding, scaling, interaction features</v>
      </c>
      <c r="D158" s="16" t="str">
        <f>'Machine Learning'!A20</f>
        <v>Not Started</v>
      </c>
      <c r="E158" s="17">
        <f>'Machine Learning'!O20</f>
        <v>0</v>
      </c>
    </row>
    <row r="159" spans="1:5" x14ac:dyDescent="0.3">
      <c r="A159" s="16" t="s">
        <v>50</v>
      </c>
      <c r="B159" s="16" t="str">
        <f>'Machine Learning'!B21</f>
        <v>Model Selection</v>
      </c>
      <c r="C159" s="16" t="str">
        <f>'Machine Learning'!C21</f>
        <v>Cross-validation, nested CV, hyperparameter search</v>
      </c>
      <c r="D159" s="16" t="str">
        <f>'Machine Learning'!A21</f>
        <v>Not Started</v>
      </c>
      <c r="E159" s="17">
        <f>'Machine Learning'!O21</f>
        <v>0</v>
      </c>
    </row>
    <row r="160" spans="1:5" x14ac:dyDescent="0.3">
      <c r="A160" s="16" t="s">
        <v>50</v>
      </c>
      <c r="B160" s="16" t="str">
        <f>'Machine Learning'!B22</f>
        <v>Interpretability</v>
      </c>
      <c r="C160" s="16" t="str">
        <f>'Machine Learning'!C22</f>
        <v>SHAP values &amp; feature attribution</v>
      </c>
      <c r="D160" s="16" t="str">
        <f>'Machine Learning'!A22</f>
        <v>Not Started</v>
      </c>
      <c r="E160" s="17">
        <f>'Machine Learning'!O22</f>
        <v>0</v>
      </c>
    </row>
    <row r="161" spans="1:5" x14ac:dyDescent="0.3">
      <c r="A161" s="16" t="s">
        <v>50</v>
      </c>
      <c r="B161" s="16" t="str">
        <f>'Machine Learning'!B23</f>
        <v>Explainability</v>
      </c>
      <c r="C161" s="16" t="str">
        <f>'Machine Learning'!C23</f>
        <v>LIME, counterfactual explanations, saliency maps</v>
      </c>
      <c r="D161" s="16" t="str">
        <f>'Machine Learning'!A23</f>
        <v>Not Started</v>
      </c>
      <c r="E161" s="17">
        <f>'Machine Learning'!O23</f>
        <v>0</v>
      </c>
    </row>
    <row r="162" spans="1:5" x14ac:dyDescent="0.3">
      <c r="A162" s="16" t="s">
        <v>51</v>
      </c>
      <c r="B162" s="16" t="str">
        <f>'Deep Learning'!B6</f>
        <v>Backpropagation</v>
      </c>
      <c r="C162" s="16" t="str">
        <f>'Deep Learning'!C6</f>
        <v>Chain rule applied through a computational graph</v>
      </c>
      <c r="D162" s="16" t="str">
        <f>'Deep Learning'!A6</f>
        <v>Not Started</v>
      </c>
      <c r="E162" s="17">
        <f>'Deep Learning'!O6</f>
        <v>0</v>
      </c>
    </row>
    <row r="163" spans="1:5" x14ac:dyDescent="0.3">
      <c r="A163" s="16" t="s">
        <v>51</v>
      </c>
      <c r="B163" s="16" t="str">
        <f>'Deep Learning'!B7</f>
        <v>Gradient Flow</v>
      </c>
      <c r="C163" s="16" t="str">
        <f>'Deep Learning'!C7</f>
        <v>Vanishing/exploding gradients &amp; mitigations</v>
      </c>
      <c r="D163" s="16" t="str">
        <f>'Deep Learning'!A7</f>
        <v>Not Started</v>
      </c>
      <c r="E163" s="17">
        <f>'Deep Learning'!O7</f>
        <v>0</v>
      </c>
    </row>
    <row r="164" spans="1:5" x14ac:dyDescent="0.3">
      <c r="A164" s="16" t="s">
        <v>51</v>
      </c>
      <c r="B164" s="16" t="str">
        <f>'Deep Learning'!B8</f>
        <v>CNN</v>
      </c>
      <c r="C164" s="16" t="str">
        <f>'Deep Learning'!C8</f>
        <v>Convolution, pooling, receptive fields</v>
      </c>
      <c r="D164" s="16" t="str">
        <f>'Deep Learning'!A8</f>
        <v>Not Started</v>
      </c>
      <c r="E164" s="17">
        <f>'Deep Learning'!O8</f>
        <v>0</v>
      </c>
    </row>
    <row r="165" spans="1:5" x14ac:dyDescent="0.3">
      <c r="A165" s="16" t="s">
        <v>51</v>
      </c>
      <c r="B165" s="16" t="str">
        <f>'Deep Learning'!B9</f>
        <v>Residual Networks</v>
      </c>
      <c r="C165" s="16" t="str">
        <f>'Deep Learning'!C9</f>
        <v>Skip connections &amp; identity mappings</v>
      </c>
      <c r="D165" s="16" t="str">
        <f>'Deep Learning'!A9</f>
        <v>Not Started</v>
      </c>
      <c r="E165" s="17">
        <f>'Deep Learning'!O9</f>
        <v>0</v>
      </c>
    </row>
    <row r="166" spans="1:5" x14ac:dyDescent="0.3">
      <c r="A166" s="16" t="s">
        <v>51</v>
      </c>
      <c r="B166" s="16" t="str">
        <f>'Deep Learning'!B11</f>
        <v>Transformers</v>
      </c>
      <c r="C166" s="16" t="str">
        <f>'Deep Learning'!C11</f>
        <v>Encoder-decoder architecture, full forward pass</v>
      </c>
      <c r="D166" s="16" t="str">
        <f>'Deep Learning'!A11</f>
        <v>Not Started</v>
      </c>
      <c r="E166" s="17">
        <f>'Deep Learning'!O11</f>
        <v>0</v>
      </c>
    </row>
    <row r="167" spans="1:5" x14ac:dyDescent="0.3">
      <c r="A167" s="16" t="s">
        <v>51</v>
      </c>
      <c r="B167" s="16" t="str">
        <f>'Deep Learning'!B12</f>
        <v>Attention</v>
      </c>
      <c r="C167" s="16" t="str">
        <f>'Deep Learning'!C12</f>
        <v>Scaled dot-product attention &amp; multi-head attention</v>
      </c>
      <c r="D167" s="16" t="str">
        <f>'Deep Learning'!A12</f>
        <v>Not Started</v>
      </c>
      <c r="E167" s="17">
        <f>'Deep Learning'!O12</f>
        <v>0</v>
      </c>
    </row>
    <row r="168" spans="1:5" x14ac:dyDescent="0.3">
      <c r="A168" s="16" t="s">
        <v>51</v>
      </c>
      <c r="B168" s="16" t="str">
        <f>'Deep Learning'!B13</f>
        <v>RoPE</v>
      </c>
      <c r="C168" s="16" t="str">
        <f>'Deep Learning'!C13</f>
        <v>Rotary Positional Embeddings</v>
      </c>
      <c r="D168" s="16" t="str">
        <f>'Deep Learning'!A13</f>
        <v>Not Started</v>
      </c>
      <c r="E168" s="17">
        <f>'Deep Learning'!O13</f>
        <v>0</v>
      </c>
    </row>
    <row r="169" spans="1:5" x14ac:dyDescent="0.3">
      <c r="A169" s="16" t="s">
        <v>51</v>
      </c>
      <c r="B169" s="16" t="str">
        <f>'Deep Learning'!B14</f>
        <v>ALiBi</v>
      </c>
      <c r="C169" s="16" t="str">
        <f>'Deep Learning'!C14</f>
        <v>Attention with Linear Biases for length extrapolation</v>
      </c>
      <c r="D169" s="16" t="str">
        <f>'Deep Learning'!A14</f>
        <v>Not Started</v>
      </c>
      <c r="E169" s="17">
        <f>'Deep Learning'!O14</f>
        <v>0</v>
      </c>
    </row>
    <row r="170" spans="1:5" x14ac:dyDescent="0.3">
      <c r="A170" s="16" t="s">
        <v>51</v>
      </c>
      <c r="B170" s="16" t="str">
        <f>'Deep Learning'!B15</f>
        <v>SwiGLU</v>
      </c>
      <c r="C170" s="16" t="str">
        <f>'Deep Learning'!C15</f>
        <v>Gated linear unit activation variant</v>
      </c>
      <c r="D170" s="16" t="str">
        <f>'Deep Learning'!A15</f>
        <v>Not Started</v>
      </c>
      <c r="E170" s="17">
        <f>'Deep Learning'!O15</f>
        <v>0</v>
      </c>
    </row>
    <row r="171" spans="1:5" x14ac:dyDescent="0.3">
      <c r="A171" s="16" t="s">
        <v>51</v>
      </c>
      <c r="B171" s="16" t="str">
        <f>'Deep Learning'!B16</f>
        <v>FlashAttention</v>
      </c>
      <c r="C171" s="16" t="str">
        <f>'Deep Learning'!C16</f>
        <v>IO-aware exact attention via tiling</v>
      </c>
      <c r="D171" s="16" t="str">
        <f>'Deep Learning'!A16</f>
        <v>Not Started</v>
      </c>
      <c r="E171" s="17">
        <f>'Deep Learning'!O16</f>
        <v>0</v>
      </c>
    </row>
    <row r="172" spans="1:5" x14ac:dyDescent="0.3">
      <c r="A172" s="16" t="s">
        <v>51</v>
      </c>
      <c r="B172" s="16" t="str">
        <f>'Deep Learning'!B17</f>
        <v>MoE</v>
      </c>
      <c r="C172" s="16" t="str">
        <f>'Deep Learning'!C17</f>
        <v>Mixture of Experts, sparse routing, load balancing</v>
      </c>
      <c r="D172" s="16" t="str">
        <f>'Deep Learning'!A17</f>
        <v>Not Started</v>
      </c>
      <c r="E172" s="17">
        <f>'Deep Learning'!O17</f>
        <v>0</v>
      </c>
    </row>
    <row r="173" spans="1:5" x14ac:dyDescent="0.3">
      <c r="A173" s="16" t="s">
        <v>51</v>
      </c>
      <c r="B173" s="16" t="str">
        <f>'Deep Learning'!B19</f>
        <v>Normalization</v>
      </c>
      <c r="C173" s="16" t="str">
        <f>'Deep Learning'!C19</f>
        <v>BatchNorm, LayerNorm, RMSNorm</v>
      </c>
      <c r="D173" s="16" t="str">
        <f>'Deep Learning'!A19</f>
        <v>Not Started</v>
      </c>
      <c r="E173" s="17">
        <f>'Deep Learning'!O19</f>
        <v>0</v>
      </c>
    </row>
    <row r="174" spans="1:5" x14ac:dyDescent="0.3">
      <c r="A174" s="16" t="s">
        <v>51</v>
      </c>
      <c r="B174" s="16" t="str">
        <f>'Deep Learning'!B20</f>
        <v>Loss Functions</v>
      </c>
      <c r="C174" s="16" t="str">
        <f>'Deep Learning'!C20</f>
        <v>Cross-entropy, contrastive, and ranking losses</v>
      </c>
      <c r="D174" s="16" t="str">
        <f>'Deep Learning'!A20</f>
        <v>Not Started</v>
      </c>
      <c r="E174" s="17">
        <f>'Deep Learning'!O20</f>
        <v>0</v>
      </c>
    </row>
    <row r="175" spans="1:5" x14ac:dyDescent="0.3">
      <c r="A175" s="16" t="s">
        <v>51</v>
      </c>
      <c r="B175" s="16" t="str">
        <f>'Deep Learning'!B21</f>
        <v>Diffusion</v>
      </c>
      <c r="C175" s="16" t="str">
        <f>'Deep Learning'!C21</f>
        <v>Forward/reverse diffusion, denoising score matching</v>
      </c>
      <c r="D175" s="16" t="str">
        <f>'Deep Learning'!A21</f>
        <v>Not Started</v>
      </c>
      <c r="E175" s="17">
        <f>'Deep Learning'!O21</f>
        <v>0</v>
      </c>
    </row>
    <row r="176" spans="1:5" x14ac:dyDescent="0.3">
      <c r="A176" s="16" t="s">
        <v>51</v>
      </c>
      <c r="B176" s="16" t="str">
        <f>'Deep Learning'!B22</f>
        <v>Vision Transformers</v>
      </c>
      <c r="C176" s="16" t="str">
        <f>'Deep Learning'!C22</f>
        <v>Patch embeddings &amp; ViT architecture</v>
      </c>
      <c r="D176" s="16" t="str">
        <f>'Deep Learning'!A22</f>
        <v>Not Started</v>
      </c>
      <c r="E176" s="17">
        <f>'Deep Learning'!O22</f>
        <v>0</v>
      </c>
    </row>
    <row r="177" spans="1:5" x14ac:dyDescent="0.3">
      <c r="A177" s="16" t="s">
        <v>51</v>
      </c>
      <c r="B177" s="16" t="str">
        <f>'Deep Learning'!B23</f>
        <v>Multimodal Models</v>
      </c>
      <c r="C177" s="16" t="str">
        <f>'Deep Learning'!C23</f>
        <v>Vision-language fusion: cross-attention vs. shared embedding space</v>
      </c>
      <c r="D177" s="16" t="str">
        <f>'Deep Learning'!A23</f>
        <v>Not Started</v>
      </c>
      <c r="E177" s="17">
        <f>'Deep Learning'!O23</f>
        <v>0</v>
      </c>
    </row>
    <row r="178" spans="1:5" x14ac:dyDescent="0.3">
      <c r="A178" s="16" t="s">
        <v>52</v>
      </c>
      <c r="B178" s="16" t="str">
        <f>'LLM Engineering'!B6</f>
        <v>Tokenizers</v>
      </c>
      <c r="C178" s="16" t="str">
        <f>'LLM Engineering'!C6</f>
        <v>Subword tokenization overview &amp; vocabulary tradeoffs</v>
      </c>
      <c r="D178" s="16" t="str">
        <f>'LLM Engineering'!A6</f>
        <v>Not Started</v>
      </c>
      <c r="E178" s="17">
        <f>'LLM Engineering'!O6</f>
        <v>0</v>
      </c>
    </row>
    <row r="179" spans="1:5" x14ac:dyDescent="0.3">
      <c r="A179" s="16" t="s">
        <v>52</v>
      </c>
      <c r="B179" s="16" t="str">
        <f>'LLM Engineering'!B7</f>
        <v>BPE</v>
      </c>
      <c r="C179" s="16" t="str">
        <f>'LLM Engineering'!C7</f>
        <v>Byte-Pair Encoding merge algorithm</v>
      </c>
      <c r="D179" s="16" t="str">
        <f>'LLM Engineering'!A7</f>
        <v>Not Started</v>
      </c>
      <c r="E179" s="17">
        <f>'LLM Engineering'!O7</f>
        <v>0</v>
      </c>
    </row>
    <row r="180" spans="1:5" x14ac:dyDescent="0.3">
      <c r="A180" s="16" t="s">
        <v>52</v>
      </c>
      <c r="B180" s="16" t="str">
        <f>'LLM Engineering'!B8</f>
        <v>SentencePiece</v>
      </c>
      <c r="C180" s="16" t="str">
        <f>'LLM Engineering'!C8</f>
        <v>Language-agnostic tokenization without pre-tokenization</v>
      </c>
      <c r="D180" s="16" t="str">
        <f>'LLM Engineering'!A8</f>
        <v>Not Started</v>
      </c>
      <c r="E180" s="17">
        <f>'LLM Engineering'!O8</f>
        <v>0</v>
      </c>
    </row>
    <row r="181" spans="1:5" x14ac:dyDescent="0.3">
      <c r="A181" s="16" t="s">
        <v>52</v>
      </c>
      <c r="B181" s="16" t="str">
        <f>'LLM Engineering'!B9</f>
        <v>WordPiece</v>
      </c>
      <c r="C181" s="16" t="str">
        <f>'LLM Engineering'!C9</f>
        <v>Likelihood-based subword merging (BERT's tokenizer)</v>
      </c>
      <c r="D181" s="16" t="str">
        <f>'LLM Engineering'!A9</f>
        <v>Not Started</v>
      </c>
      <c r="E181" s="17">
        <f>'LLM Engineering'!O9</f>
        <v>0</v>
      </c>
    </row>
    <row r="182" spans="1:5" x14ac:dyDescent="0.3">
      <c r="A182" s="16" t="s">
        <v>52</v>
      </c>
      <c r="B182" s="16" t="str">
        <f>'LLM Engineering'!B11</f>
        <v>Transformer Internals</v>
      </c>
      <c r="C182" s="16" t="str">
        <f>'LLM Engineering'!C11</f>
        <v>KV Cache mechanics &amp; memory growth</v>
      </c>
      <c r="D182" s="16" t="str">
        <f>'LLM Engineering'!A11</f>
        <v>Not Started</v>
      </c>
      <c r="E182" s="17">
        <f>'LLM Engineering'!O11</f>
        <v>0</v>
      </c>
    </row>
    <row r="183" spans="1:5" x14ac:dyDescent="0.3">
      <c r="A183" s="16" t="s">
        <v>52</v>
      </c>
      <c r="B183" s="16" t="str">
        <f>'LLM Engineering'!B12</f>
        <v>PagedAttention</v>
      </c>
      <c r="C183" s="16" t="str">
        <f>'LLM Engineering'!C12</f>
        <v>Virtual-memory-style paging for the KV cache</v>
      </c>
      <c r="D183" s="16" t="str">
        <f>'LLM Engineering'!A12</f>
        <v>Not Started</v>
      </c>
      <c r="E183" s="17">
        <f>'LLM Engineering'!O12</f>
        <v>0</v>
      </c>
    </row>
    <row r="184" spans="1:5" x14ac:dyDescent="0.3">
      <c r="A184" s="16" t="s">
        <v>52</v>
      </c>
      <c r="B184" s="16" t="str">
        <f>'LLM Engineering'!B13</f>
        <v>Continuous Batching</v>
      </c>
      <c r="C184" s="16" t="str">
        <f>'LLM Engineering'!C13</f>
        <v>Iteration-level scheduling for dynamic batch composition</v>
      </c>
      <c r="D184" s="16" t="str">
        <f>'LLM Engineering'!A13</f>
        <v>Not Started</v>
      </c>
      <c r="E184" s="17">
        <f>'LLM Engineering'!O13</f>
        <v>0</v>
      </c>
    </row>
    <row r="185" spans="1:5" x14ac:dyDescent="0.3">
      <c r="A185" s="16" t="s">
        <v>52</v>
      </c>
      <c r="B185" s="16" t="str">
        <f>'LLM Engineering'!B14</f>
        <v>Speculative Decoding</v>
      </c>
      <c r="C185" s="16" t="str">
        <f>'LLM Engineering'!C14</f>
        <v>Draft-model verification for faster autoregressive generation</v>
      </c>
      <c r="D185" s="16" t="str">
        <f>'LLM Engineering'!A14</f>
        <v>Not Started</v>
      </c>
      <c r="E185" s="17">
        <f>'LLM Engineering'!O14</f>
        <v>0</v>
      </c>
    </row>
    <row r="186" spans="1:5" x14ac:dyDescent="0.3">
      <c r="A186" s="16" t="s">
        <v>52</v>
      </c>
      <c r="B186" s="16" t="str">
        <f>'LLM Engineering'!B15</f>
        <v>Quantization</v>
      </c>
      <c r="C186" s="16" t="str">
        <f>'LLM Engineering'!C15</f>
        <v>INT8/INT4 quantization, GPTQ, AWQ</v>
      </c>
      <c r="D186" s="16" t="str">
        <f>'LLM Engineering'!A15</f>
        <v>Not Started</v>
      </c>
      <c r="E186" s="17">
        <f>'LLM Engineering'!O15</f>
        <v>0</v>
      </c>
    </row>
    <row r="187" spans="1:5" x14ac:dyDescent="0.3">
      <c r="A187" s="16" t="s">
        <v>52</v>
      </c>
      <c r="B187" s="16" t="str">
        <f>'LLM Engineering'!B17</f>
        <v>LoRA</v>
      </c>
      <c r="C187" s="16" t="str">
        <f>'LLM Engineering'!C17</f>
        <v>Low-Rank Adaptation of pretrained weights</v>
      </c>
      <c r="D187" s="16" t="str">
        <f>'LLM Engineering'!A17</f>
        <v>Not Started</v>
      </c>
      <c r="E187" s="17">
        <f>'LLM Engineering'!O17</f>
        <v>0</v>
      </c>
    </row>
    <row r="188" spans="1:5" x14ac:dyDescent="0.3">
      <c r="A188" s="16" t="s">
        <v>52</v>
      </c>
      <c r="B188" s="16" t="str">
        <f>'LLM Engineering'!B18</f>
        <v>QLoRA</v>
      </c>
      <c r="C188" s="16" t="str">
        <f>'LLM Engineering'!C18</f>
        <v>4-bit quantized base model + LoRA adapters</v>
      </c>
      <c r="D188" s="16" t="str">
        <f>'LLM Engineering'!A18</f>
        <v>Not Started</v>
      </c>
      <c r="E188" s="17">
        <f>'LLM Engineering'!O18</f>
        <v>0</v>
      </c>
    </row>
    <row r="189" spans="1:5" x14ac:dyDescent="0.3">
      <c r="A189" s="16" t="s">
        <v>52</v>
      </c>
      <c r="B189" s="16" t="str">
        <f>'LLM Engineering'!B19</f>
        <v>PEFT</v>
      </c>
      <c r="C189" s="16" t="str">
        <f>'LLM Engineering'!C19</f>
        <v>Parameter-Efficient Fine-Tuning landscape (LoRA, prefix-tuning, adapters)</v>
      </c>
      <c r="D189" s="16" t="str">
        <f>'LLM Engineering'!A19</f>
        <v>Not Started</v>
      </c>
      <c r="E189" s="17">
        <f>'LLM Engineering'!O19</f>
        <v>0</v>
      </c>
    </row>
    <row r="190" spans="1:5" x14ac:dyDescent="0.3">
      <c r="A190" s="16" t="s">
        <v>52</v>
      </c>
      <c r="B190" s="16" t="str">
        <f>'LLM Engineering'!B20</f>
        <v>SFT</v>
      </c>
      <c r="C190" s="16" t="str">
        <f>'LLM Engineering'!C20</f>
        <v>Supervised Fine-Tuning on instruction data</v>
      </c>
      <c r="D190" s="16" t="str">
        <f>'LLM Engineering'!A20</f>
        <v>Not Started</v>
      </c>
      <c r="E190" s="17">
        <f>'LLM Engineering'!O20</f>
        <v>0</v>
      </c>
    </row>
    <row r="191" spans="1:5" x14ac:dyDescent="0.3">
      <c r="A191" s="16" t="s">
        <v>52</v>
      </c>
      <c r="B191" s="16" t="str">
        <f>'LLM Engineering'!B21</f>
        <v>RLHF</v>
      </c>
      <c r="C191" s="16" t="str">
        <f>'LLM Engineering'!C21</f>
        <v>Reinforcement Learning from Human Feedback pipeline</v>
      </c>
      <c r="D191" s="16" t="str">
        <f>'LLM Engineering'!A21</f>
        <v>Not Started</v>
      </c>
      <c r="E191" s="17">
        <f>'LLM Engineering'!O21</f>
        <v>0</v>
      </c>
    </row>
    <row r="192" spans="1:5" x14ac:dyDescent="0.3">
      <c r="A192" s="16" t="s">
        <v>52</v>
      </c>
      <c r="B192" s="16" t="str">
        <f>'LLM Engineering'!B22</f>
        <v>DPO</v>
      </c>
      <c r="C192" s="16" t="str">
        <f>'LLM Engineering'!C22</f>
        <v>Direct Preference Optimization (RL-free alignment)</v>
      </c>
      <c r="D192" s="16" t="str">
        <f>'LLM Engineering'!A22</f>
        <v>Not Started</v>
      </c>
      <c r="E192" s="17">
        <f>'LLM Engineering'!O22</f>
        <v>0</v>
      </c>
    </row>
    <row r="193" spans="1:5" x14ac:dyDescent="0.3">
      <c r="A193" s="16" t="s">
        <v>52</v>
      </c>
      <c r="B193" s="16" t="str">
        <f>'LLM Engineering'!B23</f>
        <v>GRPO</v>
      </c>
      <c r="C193" s="16" t="str">
        <f>'LLM Engineering'!C23</f>
        <v>Group Relative Policy Optimization</v>
      </c>
      <c r="D193" s="16" t="str">
        <f>'LLM Engineering'!A23</f>
        <v>Not Started</v>
      </c>
      <c r="E193" s="17">
        <f>'LLM Engineering'!O23</f>
        <v>0</v>
      </c>
    </row>
    <row r="194" spans="1:5" x14ac:dyDescent="0.3">
      <c r="A194" s="16" t="s">
        <v>52</v>
      </c>
      <c r="B194" s="16" t="str">
        <f>'LLM Engineering'!B24</f>
        <v>Reward Models</v>
      </c>
      <c r="C194" s="16" t="str">
        <f>'LLM Engineering'!C24</f>
        <v>Bradley-Terry preference modeling</v>
      </c>
      <c r="D194" s="16" t="str">
        <f>'LLM Engineering'!A24</f>
        <v>Not Started</v>
      </c>
      <c r="E194" s="17">
        <f>'LLM Engineering'!O24</f>
        <v>0</v>
      </c>
    </row>
    <row r="195" spans="1:5" x14ac:dyDescent="0.3">
      <c r="A195" s="16" t="s">
        <v>52</v>
      </c>
      <c r="B195" s="16" t="str">
        <f>'LLM Engineering'!B26</f>
        <v>Prompt Optimization</v>
      </c>
      <c r="C195" s="16" t="str">
        <f>'LLM Engineering'!C26</f>
        <v>Few-shot design, chain-of-thought, structured output</v>
      </c>
      <c r="D195" s="16" t="str">
        <f>'LLM Engineering'!A26</f>
        <v>Not Started</v>
      </c>
      <c r="E195" s="17">
        <f>'LLM Engineering'!O26</f>
        <v>0</v>
      </c>
    </row>
    <row r="196" spans="1:5" x14ac:dyDescent="0.3">
      <c r="A196" s="16" t="s">
        <v>52</v>
      </c>
      <c r="B196" s="16" t="str">
        <f>'LLM Engineering'!B27</f>
        <v>Evaluation</v>
      </c>
      <c r="C196" s="16" t="str">
        <f>'LLM Engineering'!C27</f>
        <v>LLM-as-judge, benchmark design, eval contamination</v>
      </c>
      <c r="D196" s="16" t="str">
        <f>'LLM Engineering'!A27</f>
        <v>Not Started</v>
      </c>
      <c r="E196" s="17">
        <f>'LLM Engineering'!O27</f>
        <v>0</v>
      </c>
    </row>
    <row r="197" spans="1:5" x14ac:dyDescent="0.3">
      <c r="A197" s="16" t="s">
        <v>52</v>
      </c>
      <c r="B197" s="16" t="str">
        <f>'LLM Engineering'!B28</f>
        <v>Agents</v>
      </c>
      <c r="C197" s="16" t="str">
        <f>'LLM Engineering'!C28</f>
        <v>ReAct pattern, planning, self-correction loops</v>
      </c>
      <c r="D197" s="16" t="str">
        <f>'LLM Engineering'!A28</f>
        <v>Not Started</v>
      </c>
      <c r="E197" s="17">
        <f>'LLM Engineering'!O28</f>
        <v>0</v>
      </c>
    </row>
    <row r="198" spans="1:5" x14ac:dyDescent="0.3">
      <c r="A198" s="16" t="s">
        <v>52</v>
      </c>
      <c r="B198" s="16" t="str">
        <f>'LLM Engineering'!B29</f>
        <v>Tool Calling</v>
      </c>
      <c r="C198" s="16" t="str">
        <f>'LLM Engineering'!C29</f>
        <v>Function-calling schemas &amp; structured tool invocation</v>
      </c>
      <c r="D198" s="16" t="str">
        <f>'LLM Engineering'!A29</f>
        <v>Not Started</v>
      </c>
      <c r="E198" s="17">
        <f>'LLM Engineering'!O29</f>
        <v>0</v>
      </c>
    </row>
    <row r="199" spans="1:5" x14ac:dyDescent="0.3">
      <c r="A199" s="16" t="s">
        <v>52</v>
      </c>
      <c r="B199" s="16" t="str">
        <f>'LLM Engineering'!B30</f>
        <v>Memory</v>
      </c>
      <c r="C199" s="16" t="str">
        <f>'LLM Engineering'!C30</f>
        <v>Short-term context vs long-term memory architectures for agents</v>
      </c>
      <c r="D199" s="16" t="str">
        <f>'LLM Engineering'!A30</f>
        <v>Not Started</v>
      </c>
      <c r="E199" s="17">
        <f>'LLM Engineering'!O30</f>
        <v>0</v>
      </c>
    </row>
    <row r="200" spans="1:5" x14ac:dyDescent="0.3">
      <c r="A200" s="16" t="s">
        <v>52</v>
      </c>
      <c r="B200" s="16" t="str">
        <f>'LLM Engineering'!B31</f>
        <v>MCP</v>
      </c>
      <c r="C200" s="16" t="str">
        <f>'LLM Engineering'!C31</f>
        <v>Model Context Protocol for tool/data connectivity</v>
      </c>
      <c r="D200" s="16" t="str">
        <f>'LLM Engineering'!A31</f>
        <v>Not Started</v>
      </c>
      <c r="E200" s="17">
        <f>'LLM Engineering'!O31</f>
        <v>0</v>
      </c>
    </row>
    <row r="201" spans="1:5" x14ac:dyDescent="0.3">
      <c r="A201" s="16" t="s">
        <v>52</v>
      </c>
      <c r="B201" s="16" t="str">
        <f>'LLM Engineering'!B32</f>
        <v>RAG</v>
      </c>
      <c r="C201" s="16" t="str">
        <f>'LLM Engineering'!C32</f>
        <v>Retrieval-augmented generation pipeline design</v>
      </c>
      <c r="D201" s="16" t="str">
        <f>'LLM Engineering'!A32</f>
        <v>Not Started</v>
      </c>
      <c r="E201" s="17">
        <f>'LLM Engineering'!O32</f>
        <v>0</v>
      </c>
    </row>
    <row r="202" spans="1:5" x14ac:dyDescent="0.3">
      <c r="A202" s="16" t="s">
        <v>52</v>
      </c>
      <c r="B202" s="16" t="str">
        <f>'LLM Engineering'!B33</f>
        <v>Vector Search</v>
      </c>
      <c r="C202" s="16" t="str">
        <f>'LLM Engineering'!C33</f>
        <v>ANN search algorithms &amp; index tuning</v>
      </c>
      <c r="D202" s="16" t="str">
        <f>'LLM Engineering'!A33</f>
        <v>Not Started</v>
      </c>
      <c r="E202" s="17">
        <f>'LLM Engineering'!O33</f>
        <v>0</v>
      </c>
    </row>
    <row r="203" spans="1:5" x14ac:dyDescent="0.3">
      <c r="A203" s="16" t="s">
        <v>52</v>
      </c>
      <c r="B203" s="16" t="str">
        <f>'LLM Engineering'!B34</f>
        <v>Embeddings</v>
      </c>
      <c r="C203" s="16" t="str">
        <f>'LLM Engineering'!C34</f>
        <v>Dense embedding models &amp; contrastive training</v>
      </c>
      <c r="D203" s="16" t="str">
        <f>'LLM Engineering'!A34</f>
        <v>Not Started</v>
      </c>
      <c r="E203" s="17">
        <f>'LLM Engineering'!O34</f>
        <v>0</v>
      </c>
    </row>
    <row r="204" spans="1:5" x14ac:dyDescent="0.3">
      <c r="A204" s="16" t="s">
        <v>52</v>
      </c>
      <c r="B204" s="16" t="str">
        <f>'LLM Engineering'!B35</f>
        <v>Inference Optimization</v>
      </c>
      <c r="C204" s="16" t="str">
        <f>'LLM Engineering'!C35</f>
        <v>Batching, KV cache reuse, prompt caching strategies</v>
      </c>
      <c r="D204" s="16" t="str">
        <f>'LLM Engineering'!A35</f>
        <v>Not Started</v>
      </c>
      <c r="E204" s="17">
        <f>'LLM Engineering'!O35</f>
        <v>0</v>
      </c>
    </row>
    <row r="205" spans="1:5" x14ac:dyDescent="0.3">
      <c r="A205" s="16" t="s">
        <v>52</v>
      </c>
      <c r="B205" s="16" t="str">
        <f>'LLM Engineering'!B36</f>
        <v>vLLM</v>
      </c>
      <c r="C205" s="16" t="str">
        <f>'LLM Engineering'!C36</f>
        <v>Production serving engine architecture</v>
      </c>
      <c r="D205" s="16" t="str">
        <f>'LLM Engineering'!A36</f>
        <v>Not Started</v>
      </c>
      <c r="E205" s="17">
        <f>'LLM Engineering'!O36</f>
        <v>0</v>
      </c>
    </row>
    <row r="206" spans="1:5" x14ac:dyDescent="0.3">
      <c r="A206" s="16" t="s">
        <v>52</v>
      </c>
      <c r="B206" s="16" t="str">
        <f>'LLM Engineering'!B37</f>
        <v>TensorRT-LLM</v>
      </c>
      <c r="C206" s="16" t="str">
        <f>'LLM Engineering'!C37</f>
        <v>NVIDIA's compiled inference engine</v>
      </c>
      <c r="D206" s="16" t="str">
        <f>'LLM Engineering'!A37</f>
        <v>Not Started</v>
      </c>
      <c r="E206" s="17">
        <f>'LLM Engineering'!O37</f>
        <v>0</v>
      </c>
    </row>
    <row r="207" spans="1:5" x14ac:dyDescent="0.3">
      <c r="A207" s="16" t="s">
        <v>53</v>
      </c>
      <c r="B207" s="16" t="str">
        <f>'CUDA &amp; GPU Programming'!B6</f>
        <v>GPU Architecture</v>
      </c>
      <c r="C207" s="16" t="str">
        <f>'CUDA &amp; GPU Programming'!C6</f>
        <v>SMs, warps, CUDA cores vs Tensor Cores</v>
      </c>
      <c r="D207" s="16" t="str">
        <f>'CUDA &amp; GPU Programming'!A6</f>
        <v>Not Started</v>
      </c>
      <c r="E207" s="17">
        <f>'CUDA &amp; GPU Programming'!O6</f>
        <v>0</v>
      </c>
    </row>
    <row r="208" spans="1:5" x14ac:dyDescent="0.3">
      <c r="A208" s="16" t="s">
        <v>53</v>
      </c>
      <c r="B208" s="16" t="str">
        <f>'CUDA &amp; GPU Programming'!B7</f>
        <v>CUDA Programming</v>
      </c>
      <c r="C208" s="16" t="str">
        <f>'CUDA &amp; GPU Programming'!C7</f>
        <v>Kernels, grids, blocks, threads</v>
      </c>
      <c r="D208" s="16" t="str">
        <f>'CUDA &amp; GPU Programming'!A7</f>
        <v>Not Started</v>
      </c>
      <c r="E208" s="17">
        <f>'CUDA &amp; GPU Programming'!O7</f>
        <v>0</v>
      </c>
    </row>
    <row r="209" spans="1:5" x14ac:dyDescent="0.3">
      <c r="A209" s="16" t="s">
        <v>53</v>
      </c>
      <c r="B209" s="16" t="str">
        <f>'CUDA &amp; GPU Programming'!B8</f>
        <v>PTX</v>
      </c>
      <c r="C209" s="16" t="str">
        <f>'CUDA &amp; GPU Programming'!C8</f>
        <v>Parallel Thread Execution intermediate representation</v>
      </c>
      <c r="D209" s="16" t="str">
        <f>'CUDA &amp; GPU Programming'!A8</f>
        <v>Not Started</v>
      </c>
      <c r="E209" s="17">
        <f>'CUDA &amp; GPU Programming'!O8</f>
        <v>0</v>
      </c>
    </row>
    <row r="210" spans="1:5" x14ac:dyDescent="0.3">
      <c r="A210" s="16" t="s">
        <v>53</v>
      </c>
      <c r="B210" s="16" t="str">
        <f>'CUDA &amp; GPU Programming'!B9</f>
        <v>Tensor Cores</v>
      </c>
      <c r="C210" s="16" t="str">
        <f>'CUDA &amp; GPU Programming'!C9</f>
        <v>Mixed-precision matrix-multiply-accumulate units</v>
      </c>
      <c r="D210" s="16" t="str">
        <f>'CUDA &amp; GPU Programming'!A9</f>
        <v>Not Started</v>
      </c>
      <c r="E210" s="17">
        <f>'CUDA &amp; GPU Programming'!O9</f>
        <v>0</v>
      </c>
    </row>
    <row r="211" spans="1:5" x14ac:dyDescent="0.3">
      <c r="A211" s="16" t="s">
        <v>53</v>
      </c>
      <c r="B211" s="16" t="str">
        <f>'CUDA &amp; GPU Programming'!B11</f>
        <v>Shared Memory</v>
      </c>
      <c r="C211" s="16" t="str">
        <f>'CUDA &amp; GPU Programming'!C11</f>
        <v>On-chip scratchpad memory &amp; bank conflicts</v>
      </c>
      <c r="D211" s="16" t="str">
        <f>'CUDA &amp; GPU Programming'!A11</f>
        <v>Not Started</v>
      </c>
      <c r="E211" s="17">
        <f>'CUDA &amp; GPU Programming'!O11</f>
        <v>0</v>
      </c>
    </row>
    <row r="212" spans="1:5" x14ac:dyDescent="0.3">
      <c r="A212" s="16" t="s">
        <v>53</v>
      </c>
      <c r="B212" s="16" t="str">
        <f>'CUDA &amp; GPU Programming'!B12</f>
        <v>Warp Scheduling</v>
      </c>
      <c r="C212" s="16" t="str">
        <f>'CUDA &amp; GPU Programming'!C12</f>
        <v>Warp divergence &amp; scheduler occupancy</v>
      </c>
      <c r="D212" s="16" t="str">
        <f>'CUDA &amp; GPU Programming'!A12</f>
        <v>Not Started</v>
      </c>
      <c r="E212" s="17">
        <f>'CUDA &amp; GPU Programming'!O12</f>
        <v>0</v>
      </c>
    </row>
    <row r="213" spans="1:5" x14ac:dyDescent="0.3">
      <c r="A213" s="16" t="s">
        <v>53</v>
      </c>
      <c r="B213" s="16" t="str">
        <f>'CUDA &amp; GPU Programming'!B13</f>
        <v>Memory Coalescing</v>
      </c>
      <c r="C213" s="16" t="str">
        <f>'CUDA &amp; GPU Programming'!C13</f>
        <v>Aligned, contiguous global-memory access patterns</v>
      </c>
      <c r="D213" s="16" t="str">
        <f>'CUDA &amp; GPU Programming'!A13</f>
        <v>Not Started</v>
      </c>
      <c r="E213" s="17">
        <f>'CUDA &amp; GPU Programming'!O13</f>
        <v>0</v>
      </c>
    </row>
    <row r="214" spans="1:5" x14ac:dyDescent="0.3">
      <c r="A214" s="16" t="s">
        <v>53</v>
      </c>
      <c r="B214" s="16" t="str">
        <f>'CUDA &amp; GPU Programming'!B14</f>
        <v>Occupancy</v>
      </c>
      <c r="C214" s="16" t="str">
        <f>'CUDA &amp; GPU Programming'!C14</f>
        <v>Balancing registers, shared memory, and thread count</v>
      </c>
      <c r="D214" s="16" t="str">
        <f>'CUDA &amp; GPU Programming'!A14</f>
        <v>Not Started</v>
      </c>
      <c r="E214" s="17">
        <f>'CUDA &amp; GPU Programming'!O14</f>
        <v>0</v>
      </c>
    </row>
    <row r="215" spans="1:5" x14ac:dyDescent="0.3">
      <c r="A215" s="16" t="s">
        <v>53</v>
      </c>
      <c r="B215" s="16" t="str">
        <f>'CUDA &amp; GPU Programming'!B16</f>
        <v>Streams</v>
      </c>
      <c r="C215" s="16" t="str">
        <f>'CUDA &amp; GPU Programming'!C16</f>
        <v>Overlapping compute and data transfer</v>
      </c>
      <c r="D215" s="16" t="str">
        <f>'CUDA &amp; GPU Programming'!A16</f>
        <v>Not Started</v>
      </c>
      <c r="E215" s="17">
        <f>'CUDA &amp; GPU Programming'!O16</f>
        <v>0</v>
      </c>
    </row>
    <row r="216" spans="1:5" x14ac:dyDescent="0.3">
      <c r="A216" s="16" t="s">
        <v>53</v>
      </c>
      <c r="B216" s="16" t="str">
        <f>'CUDA &amp; GPU Programming'!B17</f>
        <v>Kernel Fusion</v>
      </c>
      <c r="C216" s="16" t="str">
        <f>'CUDA &amp; GPU Programming'!C17</f>
        <v>Fusing multiple ops into a single kernel launch</v>
      </c>
      <c r="D216" s="16" t="str">
        <f>'CUDA &amp; GPU Programming'!A17</f>
        <v>Not Started</v>
      </c>
      <c r="E216" s="17">
        <f>'CUDA &amp; GPU Programming'!O17</f>
        <v>0</v>
      </c>
    </row>
    <row r="217" spans="1:5" x14ac:dyDescent="0.3">
      <c r="A217" s="16" t="s">
        <v>53</v>
      </c>
      <c r="B217" s="16" t="str">
        <f>'CUDA &amp; GPU Programming'!B18</f>
        <v>CUDA Graphs</v>
      </c>
      <c r="C217" s="16" t="str">
        <f>'CUDA &amp; GPU Programming'!C18</f>
        <v>Capturing and replaying kernel launch sequences</v>
      </c>
      <c r="D217" s="16" t="str">
        <f>'CUDA &amp; GPU Programming'!A18</f>
        <v>Not Started</v>
      </c>
      <c r="E217" s="17">
        <f>'CUDA &amp; GPU Programming'!O18</f>
        <v>0</v>
      </c>
    </row>
    <row r="218" spans="1:5" x14ac:dyDescent="0.3">
      <c r="A218" s="16" t="s">
        <v>53</v>
      </c>
      <c r="B218" s="16" t="str">
        <f>'CUDA &amp; GPU Programming'!B19</f>
        <v>Triton</v>
      </c>
      <c r="C218" s="16" t="str">
        <f>'CUDA &amp; GPU Programming'!C19</f>
        <v>Python-level GPU kernel authoring</v>
      </c>
      <c r="D218" s="16" t="str">
        <f>'CUDA &amp; GPU Programming'!A19</f>
        <v>Not Started</v>
      </c>
      <c r="E218" s="17">
        <f>'CUDA &amp; GPU Programming'!O19</f>
        <v>0</v>
      </c>
    </row>
    <row r="219" spans="1:5" x14ac:dyDescent="0.3">
      <c r="A219" s="16" t="s">
        <v>53</v>
      </c>
      <c r="B219" s="16" t="str">
        <f>'CUDA &amp; GPU Programming'!B20</f>
        <v>Nsight</v>
      </c>
      <c r="C219" s="16" t="str">
        <f>'CUDA &amp; GPU Programming'!C20</f>
        <v>NVIDIA's profiling &amp; debugging toolset</v>
      </c>
      <c r="D219" s="16" t="str">
        <f>'CUDA &amp; GPU Programming'!A20</f>
        <v>Not Started</v>
      </c>
      <c r="E219" s="17">
        <f>'CUDA &amp; GPU Programming'!O20</f>
        <v>0</v>
      </c>
    </row>
    <row r="220" spans="1:5" x14ac:dyDescent="0.3">
      <c r="A220" s="16" t="s">
        <v>53</v>
      </c>
      <c r="B220" s="16" t="str">
        <f>'CUDA &amp; GPU Programming'!B21</f>
        <v>Profiling</v>
      </c>
      <c r="C220" s="16" t="str">
        <f>'CUDA &amp; GPU Programming'!C21</f>
        <v>Roofline model &amp; bottleneck identification</v>
      </c>
      <c r="D220" s="16" t="str">
        <f>'CUDA &amp; GPU Programming'!A21</f>
        <v>Not Started</v>
      </c>
      <c r="E220" s="17">
        <f>'CUDA &amp; GPU Programming'!O21</f>
        <v>0</v>
      </c>
    </row>
    <row r="221" spans="1:5" x14ac:dyDescent="0.3">
      <c r="A221" s="16" t="s">
        <v>53</v>
      </c>
      <c r="B221" s="16" t="str">
        <f>'CUDA &amp; GPU Programming'!B22</f>
        <v>Performance Optimization</v>
      </c>
      <c r="C221" s="16" t="str">
        <f>'CUDA &amp; GPU Programming'!C22</f>
        <v>End-to-end CUDA kernel optimization workflow</v>
      </c>
      <c r="D221" s="16" t="str">
        <f>'CUDA &amp; GPU Programming'!A22</f>
        <v>Not Started</v>
      </c>
      <c r="E221" s="17">
        <f>'CUDA &amp; GPU Programming'!O22</f>
        <v>0</v>
      </c>
    </row>
    <row r="222" spans="1:5" x14ac:dyDescent="0.3">
      <c r="A222" s="16" t="s">
        <v>54</v>
      </c>
      <c r="B222" s="16" t="str">
        <f>'Distributed Systems'!B6</f>
        <v>CAP</v>
      </c>
      <c r="C222" s="16" t="str">
        <f>'Distributed Systems'!C6</f>
        <v>Consistency, Availability, Partition tolerance tradeoff</v>
      </c>
      <c r="D222" s="16" t="str">
        <f>'Distributed Systems'!A6</f>
        <v>Not Started</v>
      </c>
      <c r="E222" s="17">
        <f>'Distributed Systems'!O6</f>
        <v>0</v>
      </c>
    </row>
    <row r="223" spans="1:5" x14ac:dyDescent="0.3">
      <c r="A223" s="16" t="s">
        <v>54</v>
      </c>
      <c r="B223" s="16" t="str">
        <f>'Distributed Systems'!B7</f>
        <v>Raft</v>
      </c>
      <c r="C223" s="16" t="str">
        <f>'Distributed Systems'!C7</f>
        <v>Leader election &amp; log replication consensus</v>
      </c>
      <c r="D223" s="16" t="str">
        <f>'Distributed Systems'!A7</f>
        <v>Not Started</v>
      </c>
      <c r="E223" s="17">
        <f>'Distributed Systems'!O7</f>
        <v>0</v>
      </c>
    </row>
    <row r="224" spans="1:5" x14ac:dyDescent="0.3">
      <c r="A224" s="16" t="s">
        <v>54</v>
      </c>
      <c r="B224" s="16" t="str">
        <f>'Distributed Systems'!B8</f>
        <v>Paxos</v>
      </c>
      <c r="C224" s="16" t="str">
        <f>'Distributed Systems'!C8</f>
        <v>Classic consensus protocol &amp; Multi-Paxos</v>
      </c>
      <c r="D224" s="16" t="str">
        <f>'Distributed Systems'!A8</f>
        <v>Not Started</v>
      </c>
      <c r="E224" s="17">
        <f>'Distributed Systems'!O8</f>
        <v>0</v>
      </c>
    </row>
    <row r="225" spans="1:5" x14ac:dyDescent="0.3">
      <c r="A225" s="16" t="s">
        <v>54</v>
      </c>
      <c r="B225" s="16" t="str">
        <f>'Distributed Systems'!B10</f>
        <v>Kafka</v>
      </c>
      <c r="C225" s="16" t="str">
        <f>'Distributed Systems'!C10</f>
        <v>Log-based pub/sub, partitions, consumer groups</v>
      </c>
      <c r="D225" s="16" t="str">
        <f>'Distributed Systems'!A10</f>
        <v>Not Started</v>
      </c>
      <c r="E225" s="17">
        <f>'Distributed Systems'!O10</f>
        <v>0</v>
      </c>
    </row>
    <row r="226" spans="1:5" x14ac:dyDescent="0.3">
      <c r="A226" s="16" t="s">
        <v>54</v>
      </c>
      <c r="B226" s="16" t="str">
        <f>'Distributed Systems'!B11</f>
        <v>Redis</v>
      </c>
      <c r="C226" s="16" t="str">
        <f>'Distributed Systems'!C11</f>
        <v>Data structures, persistence (RDB/AOF), pub/sub</v>
      </c>
      <c r="D226" s="16" t="str">
        <f>'Distributed Systems'!A11</f>
        <v>Not Started</v>
      </c>
      <c r="E226" s="17">
        <f>'Distributed Systems'!O11</f>
        <v>0</v>
      </c>
    </row>
    <row r="227" spans="1:5" x14ac:dyDescent="0.3">
      <c r="A227" s="16" t="s">
        <v>54</v>
      </c>
      <c r="B227" s="16" t="str">
        <f>'Distributed Systems'!B12</f>
        <v>Ray</v>
      </c>
      <c r="C227" s="16" t="str">
        <f>'Distributed Systems'!C12</f>
        <v>Distributed Python for ML workloads, actors &amp; tasks</v>
      </c>
      <c r="D227" s="16" t="str">
        <f>'Distributed Systems'!A12</f>
        <v>Not Started</v>
      </c>
      <c r="E227" s="17">
        <f>'Distributed Systems'!O12</f>
        <v>0</v>
      </c>
    </row>
    <row r="228" spans="1:5" x14ac:dyDescent="0.3">
      <c r="A228" s="16" t="s">
        <v>54</v>
      </c>
      <c r="B228" s="16" t="str">
        <f>'Distributed Systems'!B13</f>
        <v>Spark</v>
      </c>
      <c r="C228" s="16" t="str">
        <f>'Distributed Systems'!C13</f>
        <v>RDDs/DataFrames, lazy evaluation, shuffle</v>
      </c>
      <c r="D228" s="16" t="str">
        <f>'Distributed Systems'!A13</f>
        <v>Not Started</v>
      </c>
      <c r="E228" s="17">
        <f>'Distributed Systems'!O13</f>
        <v>0</v>
      </c>
    </row>
    <row r="229" spans="1:5" x14ac:dyDescent="0.3">
      <c r="A229" s="16" t="s">
        <v>54</v>
      </c>
      <c r="B229" s="16" t="str">
        <f>'Distributed Systems'!B14</f>
        <v>Flink</v>
      </c>
      <c r="C229" s="16" t="str">
        <f>'Distributed Systems'!C14</f>
        <v>Stream processing with exactly-once semantics</v>
      </c>
      <c r="D229" s="16" t="str">
        <f>'Distributed Systems'!A14</f>
        <v>Not Started</v>
      </c>
      <c r="E229" s="17">
        <f>'Distributed Systems'!O14</f>
        <v>0</v>
      </c>
    </row>
    <row r="230" spans="1:5" x14ac:dyDescent="0.3">
      <c r="A230" s="16" t="s">
        <v>54</v>
      </c>
      <c r="B230" s="16" t="str">
        <f>'Distributed Systems'!B15</f>
        <v>Kubernetes</v>
      </c>
      <c r="C230" s="16" t="str">
        <f>'Distributed Systems'!C15</f>
        <v>Pods, deployments, autoscaling, scheduling</v>
      </c>
      <c r="D230" s="16" t="str">
        <f>'Distributed Systems'!A15</f>
        <v>Not Started</v>
      </c>
      <c r="E230" s="17">
        <f>'Distributed Systems'!O15</f>
        <v>0</v>
      </c>
    </row>
    <row r="231" spans="1:5" x14ac:dyDescent="0.3">
      <c r="A231" s="16" t="s">
        <v>54</v>
      </c>
      <c r="B231" s="16" t="str">
        <f>'Distributed Systems'!B16</f>
        <v>Docker</v>
      </c>
      <c r="C231" s="16" t="str">
        <f>'Distributed Systems'!C16</f>
        <v>Multi-stage builds, layer caching, networking</v>
      </c>
      <c r="D231" s="16" t="str">
        <f>'Distributed Systems'!A16</f>
        <v>Not Started</v>
      </c>
      <c r="E231" s="17">
        <f>'Distributed Systems'!O16</f>
        <v>0</v>
      </c>
    </row>
    <row r="232" spans="1:5" x14ac:dyDescent="0.3">
      <c r="A232" s="16" t="s">
        <v>54</v>
      </c>
      <c r="B232" s="16" t="str">
        <f>'Distributed Systems'!B17</f>
        <v>Service Mesh</v>
      </c>
      <c r="C232" s="16" t="str">
        <f>'Distributed Systems'!C17</f>
        <v>Sidecar pattern, traffic management, mTLS</v>
      </c>
      <c r="D232" s="16" t="str">
        <f>'Distributed Systems'!A17</f>
        <v>Not Started</v>
      </c>
      <c r="E232" s="17">
        <f>'Distributed Systems'!O17</f>
        <v>0</v>
      </c>
    </row>
    <row r="233" spans="1:5" x14ac:dyDescent="0.3">
      <c r="A233" s="16" t="s">
        <v>54</v>
      </c>
      <c r="B233" s="16" t="str">
        <f>'Distributed Systems'!B18</f>
        <v>Microservices</v>
      </c>
      <c r="C233" s="16" t="str">
        <f>'Distributed Systems'!C18</f>
        <v>Decomposition boundaries &amp; distributed-system tradeoffs</v>
      </c>
      <c r="D233" s="16" t="str">
        <f>'Distributed Systems'!A18</f>
        <v>Not Started</v>
      </c>
      <c r="E233" s="17">
        <f>'Distributed Systems'!O18</f>
        <v>0</v>
      </c>
    </row>
    <row r="234" spans="1:5" x14ac:dyDescent="0.3">
      <c r="A234" s="16" t="s">
        <v>54</v>
      </c>
      <c r="B234" s="16" t="str">
        <f>'Distributed Systems'!B20</f>
        <v>Distributed Training</v>
      </c>
      <c r="C234" s="16" t="str">
        <f>'Distributed Systems'!C20</f>
        <v>Why single-GPU training doesn't scale to modern LLM sizes</v>
      </c>
      <c r="D234" s="16" t="str">
        <f>'Distributed Systems'!A20</f>
        <v>Not Started</v>
      </c>
      <c r="E234" s="17">
        <f>'Distributed Systems'!O20</f>
        <v>0</v>
      </c>
    </row>
    <row r="235" spans="1:5" x14ac:dyDescent="0.3">
      <c r="A235" s="16" t="s">
        <v>54</v>
      </c>
      <c r="B235" s="16" t="str">
        <f>'Distributed Systems'!B21</f>
        <v>Tensor Parallelism</v>
      </c>
      <c r="C235" s="16" t="str">
        <f>'Distributed Systems'!C21</f>
        <v>Splitting individual layers/matmuls across GPUs</v>
      </c>
      <c r="D235" s="16" t="str">
        <f>'Distributed Systems'!A21</f>
        <v>Not Started</v>
      </c>
      <c r="E235" s="17">
        <f>'Distributed Systems'!O21</f>
        <v>0</v>
      </c>
    </row>
    <row r="236" spans="1:5" x14ac:dyDescent="0.3">
      <c r="A236" s="16" t="s">
        <v>54</v>
      </c>
      <c r="B236" s="16" t="str">
        <f>'Distributed Systems'!B22</f>
        <v>Pipeline Parallelism</v>
      </c>
      <c r="C236" s="16" t="str">
        <f>'Distributed Systems'!C22</f>
        <v>Splitting layers across GPUs &amp; pipeline bubbles</v>
      </c>
      <c r="D236" s="16" t="str">
        <f>'Distributed Systems'!A22</f>
        <v>Not Started</v>
      </c>
      <c r="E236" s="17">
        <f>'Distributed Systems'!O22</f>
        <v>0</v>
      </c>
    </row>
    <row r="237" spans="1:5" x14ac:dyDescent="0.3">
      <c r="A237" s="16" t="s">
        <v>54</v>
      </c>
      <c r="B237" s="16" t="str">
        <f>'Distributed Systems'!B23</f>
        <v>Data Parallelism</v>
      </c>
      <c r="C237" s="16" t="str">
        <f>'Distributed Systems'!C23</f>
        <v>Replicated model, sharded data, gradient all-reduce</v>
      </c>
      <c r="D237" s="16" t="str">
        <f>'Distributed Systems'!A23</f>
        <v>Not Started</v>
      </c>
      <c r="E237" s="17">
        <f>'Distributed Systems'!O23</f>
        <v>0</v>
      </c>
    </row>
    <row r="238" spans="1:5" x14ac:dyDescent="0.3">
      <c r="A238" s="16" t="s">
        <v>54</v>
      </c>
      <c r="B238" s="16" t="str">
        <f>'Distributed Systems'!B24</f>
        <v>FSDP</v>
      </c>
      <c r="C238" s="16" t="str">
        <f>'Distributed Systems'!C24</f>
        <v>Fully Sharded Data Parallel — sharding optimizer/gradients/weights</v>
      </c>
      <c r="D238" s="16" t="str">
        <f>'Distributed Systems'!A24</f>
        <v>Not Started</v>
      </c>
      <c r="E238" s="17">
        <f>'Distributed Systems'!O24</f>
        <v>0</v>
      </c>
    </row>
    <row r="239" spans="1:5" x14ac:dyDescent="0.3">
      <c r="A239" s="16" t="s">
        <v>54</v>
      </c>
      <c r="B239" s="16" t="str">
        <f>'Distributed Systems'!B25</f>
        <v>DeepSpeed</v>
      </c>
      <c r="C239" s="16" t="str">
        <f>'Distributed Systems'!C25</f>
        <v>Microsoft's distributed training optimization library</v>
      </c>
      <c r="D239" s="16" t="str">
        <f>'Distributed Systems'!A25</f>
        <v>Not Started</v>
      </c>
      <c r="E239" s="17">
        <f>'Distributed Systems'!O25</f>
        <v>0</v>
      </c>
    </row>
    <row r="240" spans="1:5" x14ac:dyDescent="0.3">
      <c r="A240" s="16" t="s">
        <v>54</v>
      </c>
      <c r="B240" s="16" t="str">
        <f>'Distributed Systems'!B26</f>
        <v>NCCL</v>
      </c>
      <c r="C240" s="16" t="str">
        <f>'Distributed Systems'!C26</f>
        <v>NVIDIA Collective Communications Library primitives</v>
      </c>
      <c r="D240" s="16" t="str">
        <f>'Distributed Systems'!A26</f>
        <v>Not Started</v>
      </c>
      <c r="E240" s="17">
        <f>'Distributed Systems'!O26</f>
        <v>0</v>
      </c>
    </row>
    <row r="241" spans="1:5" x14ac:dyDescent="0.3">
      <c r="A241" s="16" t="s">
        <v>54</v>
      </c>
      <c r="B241" s="16" t="str">
        <f>'Distributed Systems'!B27</f>
        <v>AllReduce</v>
      </c>
      <c r="C241" s="16" t="str">
        <f>'Distributed Systems'!C27</f>
        <v>Ring all-reduce &amp; tree all-reduce algorithms</v>
      </c>
      <c r="D241" s="16" t="str">
        <f>'Distributed Systems'!A27</f>
        <v>Not Started</v>
      </c>
      <c r="E241" s="17">
        <f>'Distributed Systems'!O27</f>
        <v>0</v>
      </c>
    </row>
    <row r="242" spans="1:5" x14ac:dyDescent="0.3">
      <c r="A242" s="16" t="s">
        <v>54</v>
      </c>
      <c r="B242" s="16" t="str">
        <f>'Distributed Systems'!B28</f>
        <v>ZeRO</v>
      </c>
      <c r="C242" s="16" t="str">
        <f>'Distributed Systems'!C28</f>
        <v>Zero Redundancy Optimizer — stages 1/2/3</v>
      </c>
      <c r="D242" s="16" t="str">
        <f>'Distributed Systems'!A28</f>
        <v>Not Started</v>
      </c>
      <c r="E242" s="17">
        <f>'Distributed Systems'!O28</f>
        <v>0</v>
      </c>
    </row>
    <row r="243" spans="1:5" x14ac:dyDescent="0.3">
      <c r="A243" s="16" t="s">
        <v>54</v>
      </c>
      <c r="B243" s="16" t="str">
        <f>'Distributed Systems'!B29</f>
        <v>Checkpointing</v>
      </c>
      <c r="C243" s="16" t="str">
        <f>'Distributed Systems'!C29</f>
        <v>Activation checkpointing &amp; distributed checkpoint saving</v>
      </c>
      <c r="D243" s="16" t="str">
        <f>'Distributed Systems'!A29</f>
        <v>Not Started</v>
      </c>
      <c r="E243" s="17">
        <f>'Distributed Systems'!O29</f>
        <v>0</v>
      </c>
    </row>
  </sheetData>
  <mergeCells count="2">
    <mergeCell ref="A1:E1"/>
    <mergeCell ref="A2:E2"/>
  </mergeCells>
  <conditionalFormatting sqref="D7:D243">
    <cfRule type="expression" dxfId="5" priority="2">
      <formula>D7="Completed"</formula>
    </cfRule>
    <cfRule type="expression" dxfId="4" priority="3">
      <formula>D7="In Progress"</formula>
    </cfRule>
    <cfRule type="expression" dxfId="3" priority="4">
      <formula>D7="Not Started"</formula>
    </cfRule>
    <cfRule type="expression" dxfId="2" priority="5">
      <formula>D7="Research"</formula>
    </cfRule>
    <cfRule type="expression" dxfId="1" priority="6">
      <formula>D7="Project"</formula>
    </cfRule>
    <cfRule type="expression" dxfId="0" priority="7">
      <formula>D7="Optional"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Daily Planner</vt:lpstr>
      <vt:lpstr>Weekly Review</vt:lpstr>
      <vt:lpstr>Monthly Review</vt:lpstr>
      <vt:lpstr>Revision Planner</vt:lpstr>
      <vt:lpstr>Python Advanced</vt:lpstr>
      <vt:lpstr>Data Structures &amp; Algorithms</vt:lpstr>
      <vt:lpstr>Operating Systems</vt:lpstr>
      <vt:lpstr>Computer Networking</vt:lpstr>
      <vt:lpstr>Databases</vt:lpstr>
      <vt:lpstr>Mathematics</vt:lpstr>
      <vt:lpstr>Machine Learning</vt:lpstr>
      <vt:lpstr>Deep Learning</vt:lpstr>
      <vt:lpstr>LLM Engineering</vt:lpstr>
      <vt:lpstr>CUDA &amp; GPU Programming</vt:lpstr>
      <vt:lpstr>Distributed Systems</vt:lpstr>
      <vt:lpstr>Research Papers</vt:lpstr>
      <vt:lpstr>Projects</vt:lpstr>
      <vt:lpstr>Interview Prep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Chitrangi Bhatnagar</cp:lastModifiedBy>
  <cp:revision>0</cp:revision>
  <dcterms:created xsi:type="dcterms:W3CDTF">2026-08-05T04:46:30Z</dcterms:created>
  <dcterms:modified xsi:type="dcterms:W3CDTF">2026-08-19T04:50:42Z</dcterms:modified>
  <dc:language>en-US</dc:language>
</cp:coreProperties>
</file>